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<sst xmlns="http://schemas.openxmlformats.org/spreadsheetml/2006/main" count="649" uniqueCount="135">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</sst>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showGridLines="0" tabSelected="1" zoomScale="90" zoomScaleNormal="90" workbookViewId="0">
      <selection activeCell="U3" sqref="U3:V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37" t="s">
        <v>1</v>
      </c>
      <c r="G2" s="137"/>
      <c r="H2" s="137"/>
      <c r="I2" s="137"/>
      <c r="J2" s="137"/>
      <c r="K2" s="137"/>
      <c r="L2" s="137"/>
      <c r="M2" s="137"/>
      <c r="N2" s="137"/>
      <c r="O2" s="95"/>
      <c r="Q2" s="107" t="s">
        <v>60</v>
      </c>
      <c r="R2" s="107" t="s">
        <v>23</v>
      </c>
      <c r="U2" s="137" t="s">
        <v>47</v>
      </c>
      <c r="V2" s="137"/>
      <c r="W2" s="94"/>
    </row>
    <row r="3" spans="1:23" x14ac:dyDescent="0.25">
      <c r="B3" s="93" t="s">
        <v>2</v>
      </c>
      <c r="C3" s="92">
        <v>43669</v>
      </c>
      <c r="D3" s="91"/>
      <c r="F3" s="138" t="str">
        <f>$C$2 &amp;" - "&amp;VLOOKUP(C2,Config!U1:V24,2,FALSE) &amp;" Expense Sheet - "&amp; Config!$D$4 &amp;" - " &amp;TEXT($C$3,"AAAAMMDD")&amp;" - " &amp;TEXT($C$3+V5-1,"AAAAMMDD")</f>
        <v>2076 - Renner Backport Expense Sheet - Thiago Weidman - 20190723 - 20190726</v>
      </c>
      <c r="G3" s="138"/>
      <c r="H3" s="138"/>
      <c r="I3" s="138"/>
      <c r="J3" s="138"/>
      <c r="K3" s="138"/>
      <c r="L3" s="138"/>
      <c r="M3" s="138"/>
      <c r="N3" s="138"/>
      <c r="O3" s="90"/>
      <c r="P3" s="89"/>
      <c r="Q3" s="88" t="s">
        <v>63</v>
      </c>
      <c r="R3" s="108"/>
      <c r="U3" s="139" t="s">
        <v>134</v>
      </c>
      <c r="V3" s="140"/>
      <c r="W3" s="87"/>
    </row>
    <row r="4" spans="1:23" x14ac:dyDescent="0.25">
      <c r="B4" s="84"/>
      <c r="C4" s="86"/>
      <c r="D4" s="86"/>
      <c r="E4" s="84"/>
      <c r="F4" s="141"/>
      <c r="G4" s="141"/>
      <c r="H4" s="141"/>
      <c r="I4" s="141"/>
      <c r="J4" s="141"/>
      <c r="K4" s="141"/>
      <c r="L4" s="141"/>
      <c r="M4" s="141"/>
      <c r="N4" s="141"/>
      <c r="O4" s="85"/>
      <c r="P4" s="84"/>
      <c r="Q4" s="84"/>
      <c r="R4" s="84"/>
      <c r="S4" s="84"/>
      <c r="T4" s="84"/>
      <c r="U4" s="84"/>
    </row>
    <row r="5" spans="1:23" x14ac:dyDescent="0.25">
      <c r="B5" s="135" t="s">
        <v>3</v>
      </c>
      <c r="C5" s="135"/>
      <c r="D5" s="135"/>
      <c r="E5" s="135"/>
      <c r="F5" s="135"/>
      <c r="G5" s="135"/>
      <c r="H5" s="135"/>
      <c r="I5" s="135"/>
      <c r="J5" s="135"/>
      <c r="K5" s="135"/>
      <c r="M5" s="136" t="s">
        <v>4</v>
      </c>
      <c r="N5" s="136"/>
      <c r="O5" s="136"/>
      <c r="P5" s="136"/>
      <c r="Q5" s="136"/>
      <c r="R5" s="136"/>
      <c r="S5" s="136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43669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26">
        <f>SUM(C7:C11)</f>
        <v>0</v>
      </c>
      <c r="J7" s="129">
        <f>$V$6-I7</f>
        <v>85</v>
      </c>
      <c r="K7" s="132">
        <f>($V$6-I7)</f>
        <v>85</v>
      </c>
      <c r="M7" s="77">
        <f>C$3 + $V$5 -1</f>
        <v>43672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43669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27"/>
      <c r="J8" s="130"/>
      <c r="K8" s="133"/>
      <c r="M8" s="43">
        <f>C$3</f>
        <v>43669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43669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27"/>
      <c r="J9" s="130"/>
      <c r="K9" s="133"/>
      <c r="M9" s="36">
        <f>C$3</f>
        <v>43669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0</v>
      </c>
    </row>
    <row r="10" spans="1:23" x14ac:dyDescent="0.25">
      <c r="B10" s="52">
        <f>$C$3</f>
        <v>43669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27"/>
      <c r="J10" s="130"/>
      <c r="K10" s="133"/>
      <c r="M10" s="36">
        <f>C$3</f>
        <v>43669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340</v>
      </c>
    </row>
    <row r="11" spans="1:23" ht="16.5" thickBot="1" x14ac:dyDescent="0.3">
      <c r="B11" s="56">
        <f>$C$3</f>
        <v>43669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28"/>
      <c r="J11" s="131"/>
      <c r="K11" s="134"/>
      <c r="M11" s="29">
        <f>C$3</f>
        <v>43669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43670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26">
        <f>SUM(C12:C16)</f>
        <v>0</v>
      </c>
      <c r="J12" s="129">
        <f>$V$6-I12</f>
        <v>85</v>
      </c>
      <c r="K12" s="132">
        <f>($V$6-I12)+K7</f>
        <v>170</v>
      </c>
      <c r="L12" s="62"/>
      <c r="M12" s="43">
        <f>C$3 + 1</f>
        <v>43670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43670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27"/>
      <c r="J13" s="130"/>
      <c r="K13" s="133"/>
      <c r="L13" s="62"/>
      <c r="M13" s="36">
        <f>C$3 + 1</f>
        <v>43670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43670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27"/>
      <c r="J14" s="130"/>
      <c r="K14" s="133"/>
      <c r="L14" s="62"/>
      <c r="M14" s="36">
        <f>C$3 + 1</f>
        <v>43670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43670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27"/>
      <c r="J15" s="130"/>
      <c r="K15" s="133"/>
      <c r="L15" s="62"/>
      <c r="M15" s="29">
        <f>C$3 + 1</f>
        <v>43670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0</v>
      </c>
    </row>
    <row r="16" spans="1:23" ht="16.5" thickBot="1" x14ac:dyDescent="0.3">
      <c r="B16" s="56">
        <f>$C$3 +1</f>
        <v>43670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28"/>
      <c r="J16" s="131"/>
      <c r="K16" s="134"/>
      <c r="M16" s="43">
        <f>C$3 + 2</f>
        <v>43671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652.46</v>
      </c>
    </row>
    <row r="17" spans="2:22" x14ac:dyDescent="0.25">
      <c r="B17" s="43">
        <f>$C$3 +2</f>
        <v>43671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26">
        <f>SUM(C17:C21)</f>
        <v>0</v>
      </c>
      <c r="J17" s="129">
        <f>$V$6-I17</f>
        <v>85</v>
      </c>
      <c r="K17" s="132">
        <f>($V$6-I17)+K12</f>
        <v>255</v>
      </c>
      <c r="M17" s="36">
        <f>C$3 + 2</f>
        <v>43671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43671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27"/>
      <c r="J18" s="130"/>
      <c r="K18" s="133"/>
      <c r="M18" s="36">
        <f>C$3 + 2</f>
        <v>43671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43671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27"/>
      <c r="J19" s="130"/>
      <c r="K19" s="133"/>
      <c r="M19" s="29">
        <f>C$3 + 2</f>
        <v>43671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43671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27"/>
      <c r="J20" s="130"/>
      <c r="K20" s="133"/>
      <c r="M20" s="43">
        <f>C$3 + 3</f>
        <v>43672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43671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28"/>
      <c r="J21" s="131"/>
      <c r="K21" s="134"/>
      <c r="M21" s="36">
        <f>C$3 + 3</f>
        <v>43672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43672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26">
        <f>SUM(C22:C26)</f>
        <v>0</v>
      </c>
      <c r="J22" s="129">
        <f>$V$6-I22</f>
        <v>85</v>
      </c>
      <c r="K22" s="132">
        <f>($V$6-I22)+K17</f>
        <v>340</v>
      </c>
      <c r="M22" s="36">
        <f>C$3 + 3</f>
        <v>43672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43672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27"/>
      <c r="J23" s="130"/>
      <c r="K23" s="133"/>
      <c r="M23" s="29">
        <f>C$3 + 3</f>
        <v>43672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43672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27"/>
      <c r="J24" s="130"/>
      <c r="K24" s="133"/>
      <c r="M24" s="43">
        <f>C$3 + 4</f>
        <v>43673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43672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27"/>
      <c r="J25" s="130"/>
      <c r="K25" s="133"/>
      <c r="M25" s="36">
        <f>C$3 + 4</f>
        <v>43673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43672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28"/>
      <c r="J26" s="131"/>
      <c r="K26" s="134"/>
      <c r="M26" s="36">
        <f>C$3 + 4</f>
        <v>43673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43673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26">
        <f>SUM(C27:C31)</f>
        <v>0</v>
      </c>
      <c r="J27" s="129">
        <f>$V$6-I27</f>
        <v>85</v>
      </c>
      <c r="K27" s="132">
        <f>($V$6-I27)+K22</f>
        <v>425</v>
      </c>
      <c r="M27" s="29">
        <f>C$3 + 4</f>
        <v>43673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43673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27"/>
      <c r="J28" s="130"/>
      <c r="K28" s="133"/>
      <c r="M28" s="43">
        <f>C$3 + 5</f>
        <v>43674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43673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27"/>
      <c r="J29" s="130"/>
      <c r="K29" s="133"/>
      <c r="M29" s="36">
        <f>C$3 + 5</f>
        <v>43674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43673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27"/>
      <c r="J30" s="130"/>
      <c r="K30" s="133"/>
      <c r="M30" s="36">
        <f>C$3 + 5</f>
        <v>43674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43673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28"/>
      <c r="J31" s="131"/>
      <c r="K31" s="134"/>
      <c r="M31" s="29">
        <f>C$3 + 5</f>
        <v>43674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43674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26">
        <f>SUM(C32:C36)</f>
        <v>0</v>
      </c>
      <c r="J32" s="129">
        <f>$V$6-I32</f>
        <v>85</v>
      </c>
      <c r="K32" s="132">
        <f>($V$6-I32)+K27</f>
        <v>510</v>
      </c>
      <c r="M32" s="43">
        <f>C$3 + 6</f>
        <v>43675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43674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27"/>
      <c r="J33" s="130"/>
      <c r="K33" s="133"/>
      <c r="M33" s="36">
        <f>C$3 + 6</f>
        <v>43675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43674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27"/>
      <c r="J34" s="130"/>
      <c r="K34" s="133"/>
      <c r="M34" s="36">
        <f>C$3 + 6</f>
        <v>43675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43674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27"/>
      <c r="J35" s="130"/>
      <c r="K35" s="133"/>
      <c r="M35" s="29">
        <f>C$3 + 6</f>
        <v>43675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43674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28"/>
      <c r="J36" s="131"/>
      <c r="K36" s="134"/>
      <c r="M36" s="43">
        <f>C$3 + 7</f>
        <v>43676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43675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26">
        <f>SUM(C37:C41)</f>
        <v>0</v>
      </c>
      <c r="J37" s="129">
        <f>$V$6-I37</f>
        <v>85</v>
      </c>
      <c r="K37" s="132">
        <f>($V$6-I37)+K32</f>
        <v>595</v>
      </c>
      <c r="M37" s="36">
        <f>C$3 + 7</f>
        <v>43676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43675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27"/>
      <c r="J38" s="130"/>
      <c r="K38" s="133"/>
      <c r="M38" s="36">
        <f>C$3 + 7</f>
        <v>43676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43675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27"/>
      <c r="J39" s="130"/>
      <c r="K39" s="133"/>
      <c r="M39" s="29">
        <f>C$3 + 7</f>
        <v>43676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43675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27"/>
      <c r="J40" s="130"/>
      <c r="K40" s="133"/>
      <c r="M40" s="43">
        <f>C$3 + 8</f>
        <v>43677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43675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28"/>
      <c r="J41" s="131"/>
      <c r="K41" s="134"/>
      <c r="M41" s="36">
        <f>C$3 + 8</f>
        <v>43677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43676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26">
        <f>SUM(C42:C46)</f>
        <v>0</v>
      </c>
      <c r="J42" s="129">
        <f>$V$6-I42</f>
        <v>85</v>
      </c>
      <c r="K42" s="132">
        <f>($V$6-I42)+K37</f>
        <v>680</v>
      </c>
      <c r="M42" s="36">
        <f>C$3 + 8</f>
        <v>43677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43676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27"/>
      <c r="J43" s="130"/>
      <c r="K43" s="133"/>
      <c r="M43" s="29">
        <f>C$3 + 8</f>
        <v>43677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43676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27"/>
      <c r="J44" s="130"/>
      <c r="K44" s="133"/>
      <c r="M44" s="43">
        <f>C$3 + 9</f>
        <v>43678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43676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27"/>
      <c r="J45" s="130"/>
      <c r="K45" s="133"/>
      <c r="M45" s="36">
        <f>C$3 + 9</f>
        <v>43678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43676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28"/>
      <c r="J46" s="131"/>
      <c r="K46" s="134"/>
      <c r="M46" s="36">
        <f>C$3 + 9</f>
        <v>43678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43677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26">
        <f>SUM(C47:C51)</f>
        <v>0</v>
      </c>
      <c r="J47" s="129">
        <f>$V$6-I47</f>
        <v>85</v>
      </c>
      <c r="K47" s="132">
        <f>($V$6-I47)+K42</f>
        <v>765</v>
      </c>
      <c r="M47" s="29">
        <f>C$3 + 9</f>
        <v>43678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43677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27"/>
      <c r="J48" s="130"/>
      <c r="K48" s="133"/>
      <c r="M48" s="77">
        <f>C$3 + 11</f>
        <v>43680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43677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27"/>
      <c r="J49" s="130"/>
      <c r="K49" s="133"/>
      <c r="S49" s="48" t="s">
        <v>43</v>
      </c>
      <c r="T49" s="22" t="s">
        <v>35</v>
      </c>
    </row>
    <row r="50" spans="2:20" x14ac:dyDescent="0.25">
      <c r="B50" s="36">
        <f>$C$3 + 8</f>
        <v>43677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27"/>
      <c r="J50" s="130"/>
      <c r="K50" s="133"/>
      <c r="S50" s="48" t="s">
        <v>43</v>
      </c>
      <c r="T50" s="22" t="s">
        <v>35</v>
      </c>
    </row>
    <row r="51" spans="2:20" ht="16.5" thickBot="1" x14ac:dyDescent="0.3">
      <c r="B51" s="29">
        <f>$C$3 + 8</f>
        <v>43677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28"/>
      <c r="J51" s="131"/>
      <c r="K51" s="134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disablePrompts="1"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2019-08-16T18:07:24Z</dcterms:modified>
</cp:coreProperties>
</file>