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070119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'070119'!$A$1:$W$52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F3" i="2" l="1"/>
  <c r="D2" i="54"/>
  <c r="M48" i="54" l="1"/>
  <c r="F3" i="54" l="1"/>
  <c r="B51" i="54" l="1"/>
  <c r="B50" i="54"/>
  <c r="B49" i="54"/>
  <c r="M47" i="54"/>
  <c r="B48" i="54"/>
  <c r="M46" i="54"/>
  <c r="I47" i="54"/>
  <c r="J47" i="54" s="1"/>
  <c r="B47" i="54"/>
  <c r="M45" i="54"/>
  <c r="B46" i="54"/>
  <c r="M44" i="54"/>
  <c r="B45" i="54"/>
  <c r="M43" i="54"/>
  <c r="B44" i="54"/>
  <c r="M42" i="54"/>
  <c r="B43" i="54"/>
  <c r="M41" i="54"/>
  <c r="I42" i="54"/>
  <c r="J42" i="54" s="1"/>
  <c r="B42" i="54"/>
  <c r="M40" i="54"/>
  <c r="B41" i="54"/>
  <c r="M39" i="54"/>
  <c r="B40" i="54"/>
  <c r="M38" i="54"/>
  <c r="B39" i="54"/>
  <c r="M37" i="54"/>
  <c r="B38" i="54"/>
  <c r="M36" i="54"/>
  <c r="I37" i="54"/>
  <c r="B37" i="54"/>
  <c r="M35" i="54"/>
  <c r="B36" i="54"/>
  <c r="M34" i="54"/>
  <c r="B35" i="54"/>
  <c r="M33" i="54"/>
  <c r="B34" i="54"/>
  <c r="M32" i="54"/>
  <c r="B33" i="54"/>
  <c r="M31" i="54"/>
  <c r="I32" i="54"/>
  <c r="B32" i="54"/>
  <c r="M30" i="54"/>
  <c r="B31" i="54"/>
  <c r="M29" i="54"/>
  <c r="B30" i="54"/>
  <c r="M28" i="54"/>
  <c r="B29" i="54"/>
  <c r="M27" i="54"/>
  <c r="B28" i="54"/>
  <c r="M26" i="54"/>
  <c r="I27" i="54"/>
  <c r="J27" i="54" s="1"/>
  <c r="B27" i="54"/>
  <c r="M25" i="54"/>
  <c r="B26" i="54"/>
  <c r="M24" i="54"/>
  <c r="B25" i="54"/>
  <c r="M23" i="54"/>
  <c r="B24" i="54"/>
  <c r="M22" i="54"/>
  <c r="B23" i="54"/>
  <c r="M21" i="54"/>
  <c r="I22" i="54"/>
  <c r="J22" i="54" s="1"/>
  <c r="B22" i="54"/>
  <c r="M20" i="54"/>
  <c r="B21" i="54"/>
  <c r="M19" i="54"/>
  <c r="B20" i="54"/>
  <c r="M18" i="54"/>
  <c r="B19" i="54"/>
  <c r="M17" i="54"/>
  <c r="B18" i="54"/>
  <c r="M16" i="54"/>
  <c r="I17" i="54"/>
  <c r="B17" i="54"/>
  <c r="M15" i="54"/>
  <c r="B16" i="54"/>
  <c r="M14" i="54"/>
  <c r="B15" i="54"/>
  <c r="M13" i="54"/>
  <c r="B14" i="54"/>
  <c r="V13" i="54"/>
  <c r="M12" i="54"/>
  <c r="B13" i="54"/>
  <c r="V12" i="54"/>
  <c r="M11" i="54"/>
  <c r="I12" i="54"/>
  <c r="B12" i="54"/>
  <c r="M10" i="54"/>
  <c r="B11" i="54"/>
  <c r="M9" i="54"/>
  <c r="B10" i="54"/>
  <c r="V9" i="54"/>
  <c r="M8" i="54"/>
  <c r="B9" i="54"/>
  <c r="B8" i="54"/>
  <c r="V7" i="54"/>
  <c r="M7" i="54"/>
  <c r="I7" i="54"/>
  <c r="K7" i="54" s="1"/>
  <c r="B7" i="54"/>
  <c r="V10" i="54" l="1"/>
  <c r="V15" i="54"/>
  <c r="K12" i="54"/>
  <c r="K17" i="54" s="1"/>
  <c r="K22" i="54" s="1"/>
  <c r="K27" i="54" s="1"/>
  <c r="K32" i="54" s="1"/>
  <c r="K37" i="54" s="1"/>
  <c r="K42" i="54" s="1"/>
  <c r="K47" i="54" s="1"/>
  <c r="J32" i="54"/>
  <c r="J7" i="54"/>
  <c r="J12" i="54"/>
  <c r="J17" i="54"/>
  <c r="J37" i="54"/>
</calcChain>
</file>

<file path=xl/sharedStrings.xml><?xml version="1.0" encoding="utf-8"?>
<sst xmlns="http://schemas.openxmlformats.org/spreadsheetml/2006/main" count="649" uniqueCount="135">
  <si>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</si>
  <si>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</si>
  <si>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</si>
  <si>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</si>
  <si>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</si>
  <si>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</si>
  <si>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</si>
  <si>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</si>
  <si>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</si>
  <si>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</si>
  <si>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</si>
  <si>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</si>
  <si>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</si>
  <si>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</si>
  <si>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</si>
  <si>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</si>
  <si>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</si>
  <si>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</si>
  <si>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</si>
  <si>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</si>
  <si>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</si>
  <si>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</si>
  <si>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</si>
  <si>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</si>
  <si>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</si>
  <si>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</si>
  <si>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</si>
  <si>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</si>
  <si>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</si>
  <si>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</si>
  <si>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</si>
  <si>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</si>
  <si>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</si>
  <si>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</si>
  <si>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</si>
  <si>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</si>
  <si>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</si>
  <si>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</si>
  <si>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</si>
  <si>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</si>
  <si>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</si>
  <si>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</si>
  <si>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</si>
  <si>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</si>
  <si>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</si>
  <si>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</si>
  <si>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</si>
  <si>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</si>
  <si>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</si>
  <si>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</si>
  <si>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</si>
  <si>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</si>
  <si>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</si>
  <si>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</si>
  <si>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</si>
  <si>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</si>
  <si>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</si>
  <si>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</si>
  <si>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</si>
  <si>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</si>
  <si>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</si>
  <si>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</si>
  <si>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</si>
  <si>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</si>
  <si>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</si>
  <si>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</si>
  <si>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</si>
  <si>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</si>
  <si>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</si>
  <si>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</si>
  <si>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</si>
  <si>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</si>
  <si>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</si>
  <si>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</si>
  <si>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</si>
  <si>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</si>
  <si>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</si>
  <si>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</si>
  <si>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</si>
  <si>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</si>
  <si>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</si>
  <si>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</si>
  <si>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</si>
  <si>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</si>
  <si>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</si>
  <si>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</si>
  <si>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</si>
  <si>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</si>
  <si>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</si>
  <si>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</si>
  <si>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</si>
  <si>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</si>
  <si>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</si>
  <si>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</si>
  <si>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</si>
  <si>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</si>
  <si>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</si>
  <si>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4 Refeições (Thiago, Manuel, Rui Castro e Alex Caetani)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</si>
  <si>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</si>
  <si>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</si>
  <si>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</si>
  <si>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</si>
  <si>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</si>
  <si>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</si>
  <si>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</si>
  <si>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</si>
  <si>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</si>
  <si>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</si>
  <si>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</si>
  <si>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</si>
  <si>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</si>
  <si>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</si>
  <si>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</si>
  <si>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</si>
  <si>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</si>
  <si>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</si>
  <si>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</si>
  <si>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</si>
  <si>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</si>
  <si>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</si>
  <si>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</si>
  <si>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</si>
  <si>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</si>
  <si>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</si>
  <si>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</si>
  <si>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</si>
  <si>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</si>
  <si>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</si>
  <si>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</si>
  <si>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Refeição (NF de R$ 99,00)</t>
  </si>
  <si>
    <t>D2</t>
  </si>
  <si>
    <t>Repl Return amount Cell</t>
  </si>
  <si>
    <t>Repl Total</t>
  </si>
  <si>
    <t>V16</t>
  </si>
  <si>
    <t>C:\Users\LOGIC\Dropbox\Trabalho\Replicon\123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</si>
</sst>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5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6" fillId="2" borderId="2" xfId="0" applyFont="1" applyFill="1" applyBorder="1" applyAlignment="1">
      <alignment horizontal="right"/>
    </xf>
    <xf numFmtId="49" fontId="0" fillId="0" borderId="60" xfId="0" applyNumberFormat="1" applyBorder="1" applyAlignment="1">
      <alignment horizontal="left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8" xfId="0" applyFont="1" applyBorder="1" applyAlignment="1">
      <alignment horizontal="right"/>
    </xf>
    <xf numFmtId="0" fontId="5" fillId="0" borderId="48" xfId="0" applyFont="1" applyBorder="1" applyAlignment="1">
      <alignment horizontal="right"/>
    </xf>
    <xf numFmtId="0" fontId="5" fillId="0" borderId="44" xfId="0" applyFont="1" applyBorder="1" applyAlignment="1">
      <alignment horizontal="center" shrinkToFit="1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16</xdr:row>
          <xdr:rowOff>123825</xdr:rowOff>
        </xdr:from>
        <xdr:to>
          <xdr:col>21</xdr:col>
          <xdr:colOff>571500</xdr:colOff>
          <xdr:row>18</xdr:row>
          <xdr:rowOff>180975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xmlns="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19</xdr:row>
          <xdr:rowOff>76200</xdr:rowOff>
        </xdr:from>
        <xdr:to>
          <xdr:col>21</xdr:col>
          <xdr:colOff>571500</xdr:colOff>
          <xdr:row>21</xdr:row>
          <xdr:rowOff>142875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xmlns="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22</xdr:row>
          <xdr:rowOff>38100</xdr:rowOff>
        </xdr:from>
        <xdr:to>
          <xdr:col>21</xdr:col>
          <xdr:colOff>571500</xdr:colOff>
          <xdr:row>24</xdr:row>
          <xdr:rowOff>95250</xdr:rowOff>
        </xdr:to>
        <xdr:sp macro="" textlink="">
          <xdr:nvSpPr>
            <xdr:cNvPr id="134147" name="Button 3" descr="Send All Sheets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24</xdr:row>
          <xdr:rowOff>171450</xdr:rowOff>
        </xdr:from>
        <xdr:to>
          <xdr:col>20</xdr:col>
          <xdr:colOff>876300</xdr:colOff>
          <xdr:row>26</xdr:row>
          <xdr:rowOff>190500</xdr:rowOff>
        </xdr:to>
        <xdr:sp macro="" textlink="">
          <xdr:nvSpPr>
            <xdr:cNvPr id="134150" name="Button 6" hidden="1">
              <a:extLst>
                <a:ext uri="{63B3BB69-23CF-44E3-9099-C40C66FF867C}">
                  <a14:compatExt spid="_x0000_s13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981075</xdr:colOff>
          <xdr:row>24</xdr:row>
          <xdr:rowOff>161925</xdr:rowOff>
        </xdr:from>
        <xdr:to>
          <xdr:col>21</xdr:col>
          <xdr:colOff>552450</xdr:colOff>
          <xdr:row>26</xdr:row>
          <xdr:rowOff>190500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W52"/>
  <sheetViews>
    <sheetView showGridLines="0" tabSelected="1" zoomScale="90" zoomScaleNormal="90" workbookViewId="0">
      <selection activeCell="C3" sqref="C3"/>
    </sheetView>
  </sheetViews>
  <sheetFormatPr defaultColWidth="11" defaultRowHeight="15.75" outlineLevelCol="1" x14ac:dyDescent="0.25"/>
  <cols>
    <col min="1" max="1" width="1.25" style="22" customWidth="1"/>
    <col min="2" max="2" width="11" style="22" customWidth="1"/>
    <col min="3" max="3" width="11" style="22"/>
    <col min="4" max="4" width="11" style="22" hidden="1" customWidth="1" outlineLevel="1"/>
    <col min="5" max="5" width="22.875" style="22" customWidth="1" collapsed="1"/>
    <col min="6" max="6" width="6" style="22" customWidth="1"/>
    <col min="7" max="7" width="8.75" style="22" customWidth="1"/>
    <col min="8" max="8" width="12.25" style="22" hidden="1" customWidth="1" outlineLevel="1"/>
    <col min="9" max="9" width="9.875" style="22" customWidth="1" collapsed="1"/>
    <col min="10" max="10" width="9.875" style="22" customWidth="1"/>
    <col min="11" max="11" width="11.75" style="22" bestFit="1" customWidth="1"/>
    <col min="12" max="12" width="1.75" style="22" customWidth="1"/>
    <col min="13" max="13" width="11.25" style="22" customWidth="1"/>
    <col min="14" max="14" width="11" style="22"/>
    <col min="15" max="15" width="11" style="22" hidden="1" customWidth="1" outlineLevel="1"/>
    <col min="16" max="16" width="18" style="22" customWidth="1" collapsed="1"/>
    <col min="17" max="17" width="7.75" style="22" bestFit="1" customWidth="1"/>
    <col min="18" max="18" width="9.25" style="22" bestFit="1" customWidth="1"/>
    <col min="19" max="19" width="11.75" style="22" hidden="1" customWidth="1" outlineLevel="1"/>
    <col min="20" max="20" width="1.625" style="22" customWidth="1" collapsed="1"/>
    <col min="21" max="21" width="13.375" style="22" customWidth="1"/>
    <col min="22" max="16384" width="11" style="22"/>
  </cols>
  <sheetData>
    <row r="1" spans="1:23" ht="6.75" customHeight="1" x14ac:dyDescent="0.25">
      <c r="A1" s="106"/>
    </row>
    <row r="2" spans="1:23" x14ac:dyDescent="0.25">
      <c r="B2" s="93" t="s">
        <v>0</v>
      </c>
      <c r="C2" s="113">
        <v>2076</v>
      </c>
      <c r="D2" s="92" t="str">
        <f>VLOOKUP(C2,Config!U1:V24,2,FALSE)</f>
        <v>Renner Backport</v>
      </c>
      <c r="F2" s="137" t="s">
        <v>1</v>
      </c>
      <c r="G2" s="137"/>
      <c r="H2" s="137"/>
      <c r="I2" s="137"/>
      <c r="J2" s="137"/>
      <c r="K2" s="137"/>
      <c r="L2" s="137"/>
      <c r="M2" s="137"/>
      <c r="N2" s="137"/>
      <c r="O2" s="95"/>
      <c r="Q2" s="107" t="s">
        <v>60</v>
      </c>
      <c r="R2" s="107" t="s">
        <v>23</v>
      </c>
      <c r="U2" s="137" t="s">
        <v>47</v>
      </c>
      <c r="V2" s="137"/>
      <c r="W2" s="94"/>
    </row>
    <row r="3" spans="1:23" x14ac:dyDescent="0.25">
      <c r="B3" s="93" t="s">
        <v>2</v>
      </c>
      <c r="C3" s="92">
        <v>43669</v>
      </c>
      <c r="D3" s="91"/>
      <c r="F3" s="138" t="str">
        <f>$C$2 &amp;" - "&amp;VLOOKUP(C2,Config!U1:V24,2,FALSE) &amp;" Expense Sheet - "&amp; Config!$D$4 &amp;" - " &amp;TEXT($C$3,"AAAAMMDD")&amp;" - " &amp;TEXT($C$3+V5-1,"AAAAMMDD")</f>
        <v>2076 - Renner Backport Expense Sheet - Thiago Weidman - 20190723 - 20190726</v>
      </c>
      <c r="G3" s="138"/>
      <c r="H3" s="138"/>
      <c r="I3" s="138"/>
      <c r="J3" s="138"/>
      <c r="K3" s="138"/>
      <c r="L3" s="138"/>
      <c r="M3" s="138"/>
      <c r="N3" s="138"/>
      <c r="O3" s="90"/>
      <c r="P3" s="89"/>
      <c r="Q3" s="88" t="s">
        <v>63</v>
      </c>
      <c r="R3" s="108"/>
      <c r="U3" s="139" t="s">
        <v>134</v>
      </c>
      <c r="V3" s="140"/>
      <c r="W3" s="87"/>
    </row>
    <row r="4" spans="1:23" x14ac:dyDescent="0.25">
      <c r="B4" s="84"/>
      <c r="C4" s="86"/>
      <c r="D4" s="86"/>
      <c r="E4" s="84"/>
      <c r="F4" s="141"/>
      <c r="G4" s="141"/>
      <c r="H4" s="141"/>
      <c r="I4" s="141"/>
      <c r="J4" s="141"/>
      <c r="K4" s="141"/>
      <c r="L4" s="141"/>
      <c r="M4" s="141"/>
      <c r="N4" s="141"/>
      <c r="O4" s="85"/>
      <c r="P4" s="84"/>
      <c r="Q4" s="84"/>
      <c r="R4" s="84"/>
      <c r="S4" s="84"/>
      <c r="T4" s="84"/>
      <c r="U4" s="84"/>
    </row>
    <row r="5" spans="1:23" x14ac:dyDescent="0.25">
      <c r="B5" s="135" t="s">
        <v>3</v>
      </c>
      <c r="C5" s="135"/>
      <c r="D5" s="135"/>
      <c r="E5" s="135"/>
      <c r="F5" s="135"/>
      <c r="G5" s="135"/>
      <c r="H5" s="135"/>
      <c r="I5" s="135"/>
      <c r="J5" s="135"/>
      <c r="K5" s="135"/>
      <c r="M5" s="136" t="s">
        <v>4</v>
      </c>
      <c r="N5" s="136"/>
      <c r="O5" s="136"/>
      <c r="P5" s="136"/>
      <c r="Q5" s="136"/>
      <c r="R5" s="136"/>
      <c r="S5" s="136"/>
      <c r="T5" s="83"/>
      <c r="U5" s="61" t="s">
        <v>5</v>
      </c>
      <c r="V5" s="82">
        <v>4</v>
      </c>
    </row>
    <row r="6" spans="1:23" ht="16.5" thickBot="1" x14ac:dyDescent="0.3">
      <c r="B6" s="80" t="s">
        <v>6</v>
      </c>
      <c r="C6" s="80" t="s">
        <v>7</v>
      </c>
      <c r="D6" s="80" t="s">
        <v>60</v>
      </c>
      <c r="E6" s="80" t="s">
        <v>8</v>
      </c>
      <c r="F6" s="80" t="s">
        <v>9</v>
      </c>
      <c r="G6" s="80" t="s">
        <v>10</v>
      </c>
      <c r="H6" s="80" t="s">
        <v>34</v>
      </c>
      <c r="I6" s="81" t="s">
        <v>11</v>
      </c>
      <c r="J6" s="81" t="s">
        <v>12</v>
      </c>
      <c r="K6" s="80" t="s">
        <v>13</v>
      </c>
      <c r="M6" s="79" t="s">
        <v>6</v>
      </c>
      <c r="N6" s="79" t="s">
        <v>7</v>
      </c>
      <c r="O6" s="79" t="s">
        <v>60</v>
      </c>
      <c r="P6" s="79" t="s">
        <v>8</v>
      </c>
      <c r="Q6" s="79" t="s">
        <v>9</v>
      </c>
      <c r="R6" s="79" t="s">
        <v>10</v>
      </c>
      <c r="S6" s="79" t="s">
        <v>34</v>
      </c>
      <c r="U6" s="61" t="s">
        <v>14</v>
      </c>
      <c r="V6" s="35">
        <v>85</v>
      </c>
    </row>
    <row r="7" spans="1:23" ht="16.5" thickBot="1" x14ac:dyDescent="0.3">
      <c r="B7" s="43">
        <f>$C$3</f>
        <v>43669</v>
      </c>
      <c r="C7" s="42"/>
      <c r="D7" s="78" t="s">
        <v>63</v>
      </c>
      <c r="E7" s="40" t="s">
        <v>22</v>
      </c>
      <c r="F7" s="39" t="s">
        <v>15</v>
      </c>
      <c r="G7" s="38" t="s">
        <v>15</v>
      </c>
      <c r="H7" s="37" t="s">
        <v>44</v>
      </c>
      <c r="I7" s="126">
        <f>SUM(C7:C11)</f>
        <v>0</v>
      </c>
      <c r="J7" s="129">
        <f>$V$6-I7</f>
        <v>85</v>
      </c>
      <c r="K7" s="132">
        <f>($V$6-I7)</f>
        <v>85</v>
      </c>
      <c r="M7" s="77">
        <f>C$3 + $V$5 -1</f>
        <v>43672</v>
      </c>
      <c r="N7" s="76"/>
      <c r="O7" s="75" t="s">
        <v>63</v>
      </c>
      <c r="P7" s="74" t="s">
        <v>20</v>
      </c>
      <c r="Q7" s="73" t="s">
        <v>15</v>
      </c>
      <c r="R7" s="72" t="s">
        <v>15</v>
      </c>
      <c r="S7" s="71" t="s">
        <v>45</v>
      </c>
      <c r="T7" s="22" t="s">
        <v>35</v>
      </c>
      <c r="U7" s="61" t="s">
        <v>16</v>
      </c>
      <c r="V7" s="35">
        <f>V6*V5</f>
        <v>340</v>
      </c>
    </row>
    <row r="8" spans="1:23" x14ac:dyDescent="0.25">
      <c r="B8" s="52">
        <f>$C$3</f>
        <v>43669</v>
      </c>
      <c r="C8" s="105"/>
      <c r="D8" s="34" t="s">
        <v>63</v>
      </c>
      <c r="E8" s="33" t="s">
        <v>22</v>
      </c>
      <c r="F8" s="32" t="s">
        <v>15</v>
      </c>
      <c r="G8" s="31" t="s">
        <v>15</v>
      </c>
      <c r="H8" s="30" t="s">
        <v>44</v>
      </c>
      <c r="I8" s="127"/>
      <c r="J8" s="130"/>
      <c r="K8" s="133"/>
      <c r="M8" s="43">
        <f>C$3</f>
        <v>43669</v>
      </c>
      <c r="N8" s="69"/>
      <c r="O8" s="55" t="s">
        <v>63</v>
      </c>
      <c r="P8" s="40" t="s">
        <v>25</v>
      </c>
      <c r="Q8" s="54" t="s">
        <v>15</v>
      </c>
      <c r="R8" s="38" t="s">
        <v>15</v>
      </c>
      <c r="S8" s="53" t="s">
        <v>43</v>
      </c>
      <c r="T8" s="22" t="s">
        <v>35</v>
      </c>
    </row>
    <row r="9" spans="1:23" x14ac:dyDescent="0.25">
      <c r="B9" s="52">
        <f>$C$3</f>
        <v>43669</v>
      </c>
      <c r="C9" s="70"/>
      <c r="D9" s="34" t="s">
        <v>63</v>
      </c>
      <c r="E9" s="33" t="s">
        <v>22</v>
      </c>
      <c r="F9" s="32" t="s">
        <v>15</v>
      </c>
      <c r="G9" s="31" t="s">
        <v>15</v>
      </c>
      <c r="H9" s="30" t="s">
        <v>44</v>
      </c>
      <c r="I9" s="127"/>
      <c r="J9" s="130"/>
      <c r="K9" s="133"/>
      <c r="M9" s="36">
        <f>C$3</f>
        <v>43669</v>
      </c>
      <c r="N9" s="35"/>
      <c r="O9" s="51" t="s">
        <v>63</v>
      </c>
      <c r="P9" s="33" t="s">
        <v>25</v>
      </c>
      <c r="Q9" s="50" t="s">
        <v>15</v>
      </c>
      <c r="R9" s="49" t="s">
        <v>15</v>
      </c>
      <c r="S9" s="48" t="s">
        <v>43</v>
      </c>
      <c r="T9" s="22" t="s">
        <v>35</v>
      </c>
      <c r="U9" s="61" t="s">
        <v>17</v>
      </c>
      <c r="V9" s="35">
        <f>SUM(C7:C52)</f>
        <v>0</v>
      </c>
    </row>
    <row r="10" spans="1:23" x14ac:dyDescent="0.25">
      <c r="B10" s="52">
        <f>$C$3</f>
        <v>43669</v>
      </c>
      <c r="C10" s="35"/>
      <c r="D10" s="34" t="s">
        <v>63</v>
      </c>
      <c r="E10" s="33" t="s">
        <v>22</v>
      </c>
      <c r="F10" s="32" t="s">
        <v>15</v>
      </c>
      <c r="G10" s="31" t="s">
        <v>15</v>
      </c>
      <c r="H10" s="30" t="s">
        <v>44</v>
      </c>
      <c r="I10" s="127"/>
      <c r="J10" s="130"/>
      <c r="K10" s="133"/>
      <c r="M10" s="36">
        <f>C$3</f>
        <v>43669</v>
      </c>
      <c r="N10" s="35"/>
      <c r="O10" s="51" t="s">
        <v>63</v>
      </c>
      <c r="P10" s="33" t="s">
        <v>25</v>
      </c>
      <c r="Q10" s="50" t="s">
        <v>15</v>
      </c>
      <c r="R10" s="49" t="s">
        <v>15</v>
      </c>
      <c r="S10" s="48" t="s">
        <v>43</v>
      </c>
      <c r="T10" s="22" t="s">
        <v>35</v>
      </c>
      <c r="U10" s="61" t="s">
        <v>12</v>
      </c>
      <c r="V10" s="35">
        <f>V7-V9</f>
        <v>340</v>
      </c>
    </row>
    <row r="11" spans="1:23" ht="16.5" thickBot="1" x14ac:dyDescent="0.3">
      <c r="B11" s="56">
        <f>$C$3</f>
        <v>43669</v>
      </c>
      <c r="C11" s="68"/>
      <c r="D11" s="67" t="s">
        <v>63</v>
      </c>
      <c r="E11" s="26" t="s">
        <v>22</v>
      </c>
      <c r="F11" s="25" t="s">
        <v>15</v>
      </c>
      <c r="G11" s="24" t="s">
        <v>15</v>
      </c>
      <c r="H11" s="23" t="s">
        <v>44</v>
      </c>
      <c r="I11" s="128"/>
      <c r="J11" s="131"/>
      <c r="K11" s="134"/>
      <c r="M11" s="29">
        <f>C$3</f>
        <v>43669</v>
      </c>
      <c r="N11" s="28"/>
      <c r="O11" s="47" t="s">
        <v>63</v>
      </c>
      <c r="P11" s="26" t="s">
        <v>25</v>
      </c>
      <c r="Q11" s="46" t="s">
        <v>15</v>
      </c>
      <c r="R11" s="45" t="s">
        <v>15</v>
      </c>
      <c r="S11" s="44" t="s">
        <v>43</v>
      </c>
      <c r="T11" s="22" t="s">
        <v>35</v>
      </c>
      <c r="U11" s="66"/>
      <c r="V11" s="65"/>
    </row>
    <row r="12" spans="1:23" x14ac:dyDescent="0.25">
      <c r="B12" s="43">
        <f>$C$3 +1</f>
        <v>43670</v>
      </c>
      <c r="C12" s="42"/>
      <c r="D12" s="41" t="s">
        <v>63</v>
      </c>
      <c r="E12" s="40" t="s">
        <v>22</v>
      </c>
      <c r="F12" s="39" t="s">
        <v>15</v>
      </c>
      <c r="G12" s="38" t="s">
        <v>15</v>
      </c>
      <c r="H12" s="37" t="s">
        <v>44</v>
      </c>
      <c r="I12" s="126">
        <f>SUM(C12:C16)</f>
        <v>0</v>
      </c>
      <c r="J12" s="129">
        <f>$V$6-I12</f>
        <v>85</v>
      </c>
      <c r="K12" s="132">
        <f>($V$6-I12)+K7</f>
        <v>170</v>
      </c>
      <c r="L12" s="62"/>
      <c r="M12" s="43">
        <f>C$3 + 1</f>
        <v>43670</v>
      </c>
      <c r="N12" s="42"/>
      <c r="O12" s="55" t="s">
        <v>63</v>
      </c>
      <c r="P12" s="40" t="s">
        <v>25</v>
      </c>
      <c r="Q12" s="54" t="s">
        <v>15</v>
      </c>
      <c r="R12" s="38" t="s">
        <v>15</v>
      </c>
      <c r="S12" s="53" t="s">
        <v>43</v>
      </c>
      <c r="T12" s="22" t="s">
        <v>35</v>
      </c>
      <c r="U12" s="61" t="s">
        <v>18</v>
      </c>
      <c r="V12" s="60">
        <f>SUM(N8:N48)</f>
        <v>0</v>
      </c>
    </row>
    <row r="13" spans="1:23" x14ac:dyDescent="0.25">
      <c r="B13" s="52">
        <f>$C$3 +1</f>
        <v>43670</v>
      </c>
      <c r="C13" s="35"/>
      <c r="D13" s="34" t="s">
        <v>63</v>
      </c>
      <c r="E13" s="103" t="s">
        <v>22</v>
      </c>
      <c r="F13" s="32" t="s">
        <v>15</v>
      </c>
      <c r="G13" s="31" t="s">
        <v>15</v>
      </c>
      <c r="H13" s="30" t="s">
        <v>44</v>
      </c>
      <c r="I13" s="127"/>
      <c r="J13" s="130"/>
      <c r="K13" s="133"/>
      <c r="L13" s="62"/>
      <c r="M13" s="36">
        <f>C$3 + 1</f>
        <v>43670</v>
      </c>
      <c r="N13" s="35"/>
      <c r="O13" s="51" t="s">
        <v>63</v>
      </c>
      <c r="P13" s="33" t="s">
        <v>25</v>
      </c>
      <c r="Q13" s="50" t="s">
        <v>15</v>
      </c>
      <c r="R13" s="49" t="s">
        <v>15</v>
      </c>
      <c r="S13" s="48" t="s">
        <v>43</v>
      </c>
      <c r="T13" s="22" t="s">
        <v>35</v>
      </c>
      <c r="U13" s="61" t="s">
        <v>20</v>
      </c>
      <c r="V13" s="60">
        <f>SUM(N7)</f>
        <v>0</v>
      </c>
    </row>
    <row r="14" spans="1:23" x14ac:dyDescent="0.25">
      <c r="B14" s="52">
        <f>$C$3 +1</f>
        <v>43670</v>
      </c>
      <c r="C14" s="35"/>
      <c r="D14" s="34" t="s">
        <v>63</v>
      </c>
      <c r="E14" s="33" t="s">
        <v>22</v>
      </c>
      <c r="F14" s="32" t="s">
        <v>15</v>
      </c>
      <c r="G14" s="31" t="s">
        <v>15</v>
      </c>
      <c r="H14" s="30" t="s">
        <v>44</v>
      </c>
      <c r="I14" s="127"/>
      <c r="J14" s="130"/>
      <c r="K14" s="133"/>
      <c r="L14" s="62"/>
      <c r="M14" s="36">
        <f>C$3 + 1</f>
        <v>43670</v>
      </c>
      <c r="N14" s="35"/>
      <c r="O14" s="51" t="s">
        <v>63</v>
      </c>
      <c r="P14" s="33" t="s">
        <v>25</v>
      </c>
      <c r="Q14" s="50" t="s">
        <v>15</v>
      </c>
      <c r="R14" s="49" t="s">
        <v>15</v>
      </c>
      <c r="S14" s="48" t="s">
        <v>43</v>
      </c>
      <c r="T14" s="22" t="s">
        <v>35</v>
      </c>
      <c r="V14" s="65"/>
    </row>
    <row r="15" spans="1:23" ht="16.5" thickBot="1" x14ac:dyDescent="0.3">
      <c r="B15" s="52">
        <f>$C$3 +1</f>
        <v>43670</v>
      </c>
      <c r="C15" s="64"/>
      <c r="D15" s="63" t="s">
        <v>63</v>
      </c>
      <c r="E15" s="33" t="s">
        <v>22</v>
      </c>
      <c r="F15" s="32" t="s">
        <v>15</v>
      </c>
      <c r="G15" s="31" t="s">
        <v>15</v>
      </c>
      <c r="H15" s="30" t="s">
        <v>44</v>
      </c>
      <c r="I15" s="127"/>
      <c r="J15" s="130"/>
      <c r="K15" s="133"/>
      <c r="L15" s="62"/>
      <c r="M15" s="29">
        <f>C$3 + 1</f>
        <v>43670</v>
      </c>
      <c r="N15" s="28"/>
      <c r="O15" s="47" t="s">
        <v>63</v>
      </c>
      <c r="P15" s="26" t="s">
        <v>25</v>
      </c>
      <c r="Q15" s="46" t="s">
        <v>15</v>
      </c>
      <c r="R15" s="45" t="s">
        <v>15</v>
      </c>
      <c r="S15" s="44" t="s">
        <v>43</v>
      </c>
      <c r="T15" s="22" t="s">
        <v>35</v>
      </c>
      <c r="U15" s="61" t="s">
        <v>19</v>
      </c>
      <c r="V15" s="60">
        <f>V12+V9+V13</f>
        <v>0</v>
      </c>
    </row>
    <row r="16" spans="1:23" ht="16.5" thickBot="1" x14ac:dyDescent="0.3">
      <c r="B16" s="56">
        <f>$C$3 +1</f>
        <v>43670</v>
      </c>
      <c r="C16" s="28"/>
      <c r="D16" s="27" t="s">
        <v>63</v>
      </c>
      <c r="E16" s="26" t="s">
        <v>22</v>
      </c>
      <c r="F16" s="25" t="s">
        <v>15</v>
      </c>
      <c r="G16" s="24" t="s">
        <v>15</v>
      </c>
      <c r="H16" s="23" t="s">
        <v>44</v>
      </c>
      <c r="I16" s="128"/>
      <c r="J16" s="131"/>
      <c r="K16" s="134"/>
      <c r="M16" s="43">
        <f>C$3 + 2</f>
        <v>43671</v>
      </c>
      <c r="N16" s="42"/>
      <c r="O16" s="55" t="s">
        <v>63</v>
      </c>
      <c r="P16" s="40" t="s">
        <v>25</v>
      </c>
      <c r="Q16" s="54" t="s">
        <v>15</v>
      </c>
      <c r="R16" s="38" t="s">
        <v>15</v>
      </c>
      <c r="S16" s="53" t="s">
        <v>43</v>
      </c>
      <c r="T16" s="22" t="s">
        <v>35</v>
      </c>
      <c r="U16" s="61" t="s">
        <v>132</v>
      </c>
      <c r="V16" s="60">
        <v>652.46</v>
      </c>
    </row>
    <row r="17" spans="2:22" x14ac:dyDescent="0.25">
      <c r="B17" s="43">
        <f>$C$3 +2</f>
        <v>43671</v>
      </c>
      <c r="C17" s="42"/>
      <c r="D17" s="41" t="s">
        <v>63</v>
      </c>
      <c r="E17" s="40" t="s">
        <v>22</v>
      </c>
      <c r="F17" s="39" t="s">
        <v>15</v>
      </c>
      <c r="G17" s="38" t="s">
        <v>15</v>
      </c>
      <c r="H17" s="37" t="s">
        <v>44</v>
      </c>
      <c r="I17" s="126">
        <f>SUM(C17:C21)</f>
        <v>0</v>
      </c>
      <c r="J17" s="129">
        <f>$V$6-I17</f>
        <v>85</v>
      </c>
      <c r="K17" s="132">
        <f>($V$6-I17)+K12</f>
        <v>255</v>
      </c>
      <c r="M17" s="36">
        <f>C$3 + 2</f>
        <v>43671</v>
      </c>
      <c r="N17" s="35"/>
      <c r="O17" s="51" t="s">
        <v>63</v>
      </c>
      <c r="P17" s="33" t="s">
        <v>25</v>
      </c>
      <c r="Q17" s="50" t="s">
        <v>15</v>
      </c>
      <c r="R17" s="49" t="s">
        <v>15</v>
      </c>
      <c r="S17" s="48" t="s">
        <v>43</v>
      </c>
      <c r="T17" s="22" t="s">
        <v>35</v>
      </c>
      <c r="V17" s="59"/>
    </row>
    <row r="18" spans="2:22" x14ac:dyDescent="0.25">
      <c r="B18" s="52">
        <f>$C$3 +2</f>
        <v>43671</v>
      </c>
      <c r="C18" s="35"/>
      <c r="D18" s="34" t="s">
        <v>63</v>
      </c>
      <c r="E18" s="33" t="s">
        <v>22</v>
      </c>
      <c r="F18" s="32" t="s">
        <v>15</v>
      </c>
      <c r="G18" s="31" t="s">
        <v>15</v>
      </c>
      <c r="H18" s="30" t="s">
        <v>44</v>
      </c>
      <c r="I18" s="127"/>
      <c r="J18" s="130"/>
      <c r="K18" s="133"/>
      <c r="M18" s="36">
        <f>C$3 + 2</f>
        <v>43671</v>
      </c>
      <c r="N18" s="35"/>
      <c r="O18" s="51" t="s">
        <v>63</v>
      </c>
      <c r="P18" s="33" t="s">
        <v>25</v>
      </c>
      <c r="Q18" s="50" t="s">
        <v>15</v>
      </c>
      <c r="R18" s="49" t="s">
        <v>15</v>
      </c>
      <c r="S18" s="48" t="s">
        <v>43</v>
      </c>
      <c r="T18" s="22" t="s">
        <v>35</v>
      </c>
      <c r="V18" s="59"/>
    </row>
    <row r="19" spans="2:22" ht="16.5" thickBot="1" x14ac:dyDescent="0.3">
      <c r="B19" s="52">
        <f>$C$3 +2</f>
        <v>43671</v>
      </c>
      <c r="C19" s="35"/>
      <c r="D19" s="34" t="s">
        <v>63</v>
      </c>
      <c r="E19" s="33" t="s">
        <v>22</v>
      </c>
      <c r="F19" s="32" t="s">
        <v>15</v>
      </c>
      <c r="G19" s="31" t="s">
        <v>15</v>
      </c>
      <c r="H19" s="30" t="s">
        <v>44</v>
      </c>
      <c r="I19" s="127"/>
      <c r="J19" s="130"/>
      <c r="K19" s="133"/>
      <c r="M19" s="29">
        <f>C$3 + 2</f>
        <v>43671</v>
      </c>
      <c r="N19" s="28"/>
      <c r="O19" s="47" t="s">
        <v>63</v>
      </c>
      <c r="P19" s="26" t="s">
        <v>25</v>
      </c>
      <c r="Q19" s="46" t="s">
        <v>15</v>
      </c>
      <c r="R19" s="45" t="s">
        <v>15</v>
      </c>
      <c r="S19" s="44" t="s">
        <v>43</v>
      </c>
      <c r="T19" s="22" t="s">
        <v>35</v>
      </c>
      <c r="V19" s="59"/>
    </row>
    <row r="20" spans="2:22" x14ac:dyDescent="0.25">
      <c r="B20" s="52">
        <f>$C$3 +2</f>
        <v>43671</v>
      </c>
      <c r="C20" s="35"/>
      <c r="D20" s="34" t="s">
        <v>63</v>
      </c>
      <c r="E20" s="33" t="s">
        <v>22</v>
      </c>
      <c r="F20" s="32" t="s">
        <v>15</v>
      </c>
      <c r="G20" s="31" t="s">
        <v>15</v>
      </c>
      <c r="H20" s="30" t="s">
        <v>44</v>
      </c>
      <c r="I20" s="127"/>
      <c r="J20" s="130"/>
      <c r="K20" s="133"/>
      <c r="M20" s="43">
        <f>C$3 + 3</f>
        <v>43672</v>
      </c>
      <c r="N20" s="42"/>
      <c r="O20" s="55" t="s">
        <v>63</v>
      </c>
      <c r="P20" s="40" t="s">
        <v>25</v>
      </c>
      <c r="Q20" s="54" t="s">
        <v>15</v>
      </c>
      <c r="R20" s="38" t="s">
        <v>15</v>
      </c>
      <c r="S20" s="53" t="s">
        <v>43</v>
      </c>
      <c r="T20" s="22" t="s">
        <v>35</v>
      </c>
      <c r="V20" s="59"/>
    </row>
    <row r="21" spans="2:22" ht="16.5" thickBot="1" x14ac:dyDescent="0.3">
      <c r="B21" s="56">
        <f>$C$3 +2</f>
        <v>43671</v>
      </c>
      <c r="C21" s="28"/>
      <c r="D21" s="27" t="s">
        <v>63</v>
      </c>
      <c r="E21" s="26" t="s">
        <v>22</v>
      </c>
      <c r="F21" s="25" t="s">
        <v>15</v>
      </c>
      <c r="G21" s="24" t="s">
        <v>15</v>
      </c>
      <c r="H21" s="23" t="s">
        <v>44</v>
      </c>
      <c r="I21" s="128"/>
      <c r="J21" s="131"/>
      <c r="K21" s="134"/>
      <c r="M21" s="36">
        <f>C$3 + 3</f>
        <v>43672</v>
      </c>
      <c r="N21" s="35"/>
      <c r="O21" s="51" t="s">
        <v>63</v>
      </c>
      <c r="P21" s="33" t="s">
        <v>25</v>
      </c>
      <c r="Q21" s="50" t="s">
        <v>15</v>
      </c>
      <c r="R21" s="49" t="s">
        <v>15</v>
      </c>
      <c r="S21" s="48" t="s">
        <v>43</v>
      </c>
      <c r="T21" s="22" t="s">
        <v>35</v>
      </c>
    </row>
    <row r="22" spans="2:22" x14ac:dyDescent="0.25">
      <c r="B22" s="43">
        <f>$C$3 + 3</f>
        <v>43672</v>
      </c>
      <c r="C22" s="104"/>
      <c r="D22" s="41" t="s">
        <v>63</v>
      </c>
      <c r="E22" s="40" t="s">
        <v>22</v>
      </c>
      <c r="F22" s="39" t="s">
        <v>15</v>
      </c>
      <c r="G22" s="38" t="s">
        <v>15</v>
      </c>
      <c r="H22" s="37" t="s">
        <v>44</v>
      </c>
      <c r="I22" s="126">
        <f>SUM(C22:C26)</f>
        <v>0</v>
      </c>
      <c r="J22" s="129">
        <f>$V$6-I22</f>
        <v>85</v>
      </c>
      <c r="K22" s="132">
        <f>($V$6-I22)+K17</f>
        <v>340</v>
      </c>
      <c r="M22" s="36">
        <f>C$3 + 3</f>
        <v>43672</v>
      </c>
      <c r="N22" s="35"/>
      <c r="O22" s="51" t="s">
        <v>63</v>
      </c>
      <c r="P22" s="33" t="s">
        <v>25</v>
      </c>
      <c r="Q22" s="50" t="s">
        <v>15</v>
      </c>
      <c r="R22" s="49" t="s">
        <v>15</v>
      </c>
      <c r="S22" s="48" t="s">
        <v>43</v>
      </c>
      <c r="T22" s="22" t="s">
        <v>35</v>
      </c>
    </row>
    <row r="23" spans="2:22" ht="16.5" thickBot="1" x14ac:dyDescent="0.3">
      <c r="B23" s="52">
        <f>$C$3 + 3</f>
        <v>43672</v>
      </c>
      <c r="C23" s="35"/>
      <c r="D23" s="34" t="s">
        <v>63</v>
      </c>
      <c r="E23" s="33" t="s">
        <v>22</v>
      </c>
      <c r="F23" s="32" t="s">
        <v>15</v>
      </c>
      <c r="G23" s="31" t="s">
        <v>15</v>
      </c>
      <c r="H23" s="30" t="s">
        <v>44</v>
      </c>
      <c r="I23" s="127"/>
      <c r="J23" s="130"/>
      <c r="K23" s="133"/>
      <c r="M23" s="29">
        <f>C$3 + 3</f>
        <v>43672</v>
      </c>
      <c r="N23" s="58"/>
      <c r="O23" s="57" t="s">
        <v>63</v>
      </c>
      <c r="P23" s="26" t="s">
        <v>25</v>
      </c>
      <c r="Q23" s="46" t="s">
        <v>15</v>
      </c>
      <c r="R23" s="45" t="s">
        <v>15</v>
      </c>
      <c r="S23" s="44" t="s">
        <v>43</v>
      </c>
      <c r="T23" s="22" t="s">
        <v>35</v>
      </c>
    </row>
    <row r="24" spans="2:22" x14ac:dyDescent="0.25">
      <c r="B24" s="52">
        <f>$C$3 + 3</f>
        <v>43672</v>
      </c>
      <c r="C24" s="101"/>
      <c r="D24" s="34" t="s">
        <v>63</v>
      </c>
      <c r="E24" s="33" t="s">
        <v>32</v>
      </c>
      <c r="F24" s="32" t="s">
        <v>15</v>
      </c>
      <c r="G24" s="31" t="s">
        <v>15</v>
      </c>
      <c r="H24" s="30" t="s">
        <v>44</v>
      </c>
      <c r="I24" s="127"/>
      <c r="J24" s="130"/>
      <c r="K24" s="133"/>
      <c r="M24" s="43">
        <f>C$3 + 4</f>
        <v>43673</v>
      </c>
      <c r="N24" s="42"/>
      <c r="O24" s="55" t="s">
        <v>63</v>
      </c>
      <c r="P24" s="40" t="s">
        <v>24</v>
      </c>
      <c r="Q24" s="54" t="s">
        <v>15</v>
      </c>
      <c r="R24" s="38" t="s">
        <v>15</v>
      </c>
      <c r="S24" s="53" t="s">
        <v>43</v>
      </c>
      <c r="T24" s="22" t="s">
        <v>35</v>
      </c>
    </row>
    <row r="25" spans="2:22" x14ac:dyDescent="0.25">
      <c r="B25" s="52">
        <f>$C$3 + 3</f>
        <v>43672</v>
      </c>
      <c r="C25" s="35"/>
      <c r="D25" s="34" t="s">
        <v>63</v>
      </c>
      <c r="E25" s="33" t="s">
        <v>22</v>
      </c>
      <c r="F25" s="32" t="s">
        <v>15</v>
      </c>
      <c r="G25" s="31" t="s">
        <v>15</v>
      </c>
      <c r="H25" s="30" t="s">
        <v>44</v>
      </c>
      <c r="I25" s="127"/>
      <c r="J25" s="130"/>
      <c r="K25" s="133"/>
      <c r="M25" s="36">
        <f>C$3 + 4</f>
        <v>43673</v>
      </c>
      <c r="N25" s="35"/>
      <c r="O25" s="51" t="s">
        <v>63</v>
      </c>
      <c r="P25" s="33" t="s">
        <v>24</v>
      </c>
      <c r="Q25" s="50" t="s">
        <v>15</v>
      </c>
      <c r="R25" s="49" t="s">
        <v>15</v>
      </c>
      <c r="S25" s="48" t="s">
        <v>43</v>
      </c>
      <c r="T25" s="22" t="s">
        <v>35</v>
      </c>
    </row>
    <row r="26" spans="2:22" ht="16.5" thickBot="1" x14ac:dyDescent="0.3">
      <c r="B26" s="56">
        <f>$C$3 + 3</f>
        <v>43672</v>
      </c>
      <c r="C26" s="28"/>
      <c r="D26" s="27" t="s">
        <v>63</v>
      </c>
      <c r="E26" s="26" t="s">
        <v>22</v>
      </c>
      <c r="F26" s="25" t="s">
        <v>15</v>
      </c>
      <c r="G26" s="24" t="s">
        <v>15</v>
      </c>
      <c r="H26" s="23" t="s">
        <v>44</v>
      </c>
      <c r="I26" s="128"/>
      <c r="J26" s="131"/>
      <c r="K26" s="134"/>
      <c r="M26" s="36">
        <f>C$3 + 4</f>
        <v>43673</v>
      </c>
      <c r="N26" s="35"/>
      <c r="O26" s="51" t="s">
        <v>63</v>
      </c>
      <c r="P26" s="33" t="s">
        <v>25</v>
      </c>
      <c r="Q26" s="50" t="s">
        <v>15</v>
      </c>
      <c r="R26" s="49" t="s">
        <v>15</v>
      </c>
      <c r="S26" s="48" t="s">
        <v>43</v>
      </c>
      <c r="T26" s="22" t="s">
        <v>35</v>
      </c>
    </row>
    <row r="27" spans="2:22" ht="16.5" thickBot="1" x14ac:dyDescent="0.3">
      <c r="B27" s="43">
        <f>$C$3 + 4</f>
        <v>43673</v>
      </c>
      <c r="C27" s="42"/>
      <c r="D27" s="41" t="s">
        <v>63</v>
      </c>
      <c r="E27" s="40" t="s">
        <v>22</v>
      </c>
      <c r="F27" s="39" t="s">
        <v>15</v>
      </c>
      <c r="G27" s="38" t="s">
        <v>15</v>
      </c>
      <c r="H27" s="37" t="s">
        <v>44</v>
      </c>
      <c r="I27" s="126">
        <f>SUM(C27:C31)</f>
        <v>0</v>
      </c>
      <c r="J27" s="129">
        <f>$V$6-I27</f>
        <v>85</v>
      </c>
      <c r="K27" s="132">
        <f>($V$6-I27)+K22</f>
        <v>425</v>
      </c>
      <c r="M27" s="29">
        <f>C$3 + 4</f>
        <v>43673</v>
      </c>
      <c r="N27" s="28"/>
      <c r="O27" s="47" t="s">
        <v>63</v>
      </c>
      <c r="P27" s="26" t="s">
        <v>25</v>
      </c>
      <c r="Q27" s="46" t="s">
        <v>15</v>
      </c>
      <c r="R27" s="45" t="s">
        <v>15</v>
      </c>
      <c r="S27" s="44" t="s">
        <v>43</v>
      </c>
      <c r="T27" s="22" t="s">
        <v>35</v>
      </c>
    </row>
    <row r="28" spans="2:22" x14ac:dyDescent="0.25">
      <c r="B28" s="36">
        <f>$C$3 + 4</f>
        <v>43673</v>
      </c>
      <c r="C28" s="35"/>
      <c r="D28" s="34" t="s">
        <v>63</v>
      </c>
      <c r="E28" s="33" t="s">
        <v>22</v>
      </c>
      <c r="F28" s="32" t="s">
        <v>15</v>
      </c>
      <c r="G28" s="31" t="s">
        <v>15</v>
      </c>
      <c r="H28" s="30" t="s">
        <v>44</v>
      </c>
      <c r="I28" s="127"/>
      <c r="J28" s="130"/>
      <c r="K28" s="133"/>
      <c r="M28" s="43">
        <f>C$3 + 5</f>
        <v>43674</v>
      </c>
      <c r="N28" s="42"/>
      <c r="O28" s="55" t="s">
        <v>63</v>
      </c>
      <c r="P28" s="40" t="s">
        <v>24</v>
      </c>
      <c r="Q28" s="54" t="s">
        <v>15</v>
      </c>
      <c r="R28" s="38" t="s">
        <v>15</v>
      </c>
      <c r="S28" s="53" t="s">
        <v>43</v>
      </c>
      <c r="T28" s="22" t="s">
        <v>35</v>
      </c>
    </row>
    <row r="29" spans="2:22" x14ac:dyDescent="0.25">
      <c r="B29" s="36">
        <f>$C$3 + 4</f>
        <v>43673</v>
      </c>
      <c r="C29" s="35"/>
      <c r="D29" s="34" t="s">
        <v>63</v>
      </c>
      <c r="E29" s="33" t="s">
        <v>32</v>
      </c>
      <c r="F29" s="32" t="s">
        <v>15</v>
      </c>
      <c r="G29" s="31" t="s">
        <v>15</v>
      </c>
      <c r="H29" s="30" t="s">
        <v>44</v>
      </c>
      <c r="I29" s="127"/>
      <c r="J29" s="130"/>
      <c r="K29" s="133"/>
      <c r="M29" s="36">
        <f>C$3 + 5</f>
        <v>43674</v>
      </c>
      <c r="N29" s="35"/>
      <c r="O29" s="51" t="s">
        <v>63</v>
      </c>
      <c r="P29" s="33" t="s">
        <v>24</v>
      </c>
      <c r="Q29" s="50" t="s">
        <v>15</v>
      </c>
      <c r="R29" s="49" t="s">
        <v>15</v>
      </c>
      <c r="S29" s="48" t="s">
        <v>43</v>
      </c>
      <c r="T29" s="22" t="s">
        <v>35</v>
      </c>
    </row>
    <row r="30" spans="2:22" x14ac:dyDescent="0.25">
      <c r="B30" s="36">
        <f>$C$3 + 4</f>
        <v>43673</v>
      </c>
      <c r="C30" s="35"/>
      <c r="D30" s="34" t="s">
        <v>63</v>
      </c>
      <c r="E30" s="33" t="s">
        <v>22</v>
      </c>
      <c r="F30" s="32" t="s">
        <v>15</v>
      </c>
      <c r="G30" s="31" t="s">
        <v>15</v>
      </c>
      <c r="H30" s="30" t="s">
        <v>44</v>
      </c>
      <c r="I30" s="127"/>
      <c r="J30" s="130"/>
      <c r="K30" s="133"/>
      <c r="M30" s="36">
        <f>C$3 + 5</f>
        <v>43674</v>
      </c>
      <c r="N30" s="35"/>
      <c r="O30" s="51" t="s">
        <v>63</v>
      </c>
      <c r="P30" s="33" t="s">
        <v>25</v>
      </c>
      <c r="Q30" s="50" t="s">
        <v>15</v>
      </c>
      <c r="R30" s="49" t="s">
        <v>15</v>
      </c>
      <c r="S30" s="48" t="s">
        <v>43</v>
      </c>
      <c r="T30" s="22" t="s">
        <v>35</v>
      </c>
    </row>
    <row r="31" spans="2:22" ht="16.5" thickBot="1" x14ac:dyDescent="0.3">
      <c r="B31" s="56">
        <f>$C$3 + 4</f>
        <v>43673</v>
      </c>
      <c r="C31" s="28"/>
      <c r="D31" s="27" t="s">
        <v>63</v>
      </c>
      <c r="E31" s="26" t="s">
        <v>22</v>
      </c>
      <c r="F31" s="25" t="s">
        <v>15</v>
      </c>
      <c r="G31" s="24" t="s">
        <v>15</v>
      </c>
      <c r="H31" s="23" t="s">
        <v>44</v>
      </c>
      <c r="I31" s="128"/>
      <c r="J31" s="131"/>
      <c r="K31" s="134"/>
      <c r="M31" s="29">
        <f>C$3 + 5</f>
        <v>43674</v>
      </c>
      <c r="N31" s="28"/>
      <c r="O31" s="47" t="s">
        <v>63</v>
      </c>
      <c r="P31" s="26" t="s">
        <v>25</v>
      </c>
      <c r="Q31" s="46" t="s">
        <v>15</v>
      </c>
      <c r="R31" s="45" t="s">
        <v>15</v>
      </c>
      <c r="S31" s="44" t="s">
        <v>43</v>
      </c>
      <c r="T31" s="22" t="s">
        <v>35</v>
      </c>
    </row>
    <row r="32" spans="2:22" x14ac:dyDescent="0.25">
      <c r="B32" s="43">
        <f>$C$3 + 5</f>
        <v>43674</v>
      </c>
      <c r="C32" s="42"/>
      <c r="D32" s="41" t="s">
        <v>63</v>
      </c>
      <c r="E32" s="40" t="s">
        <v>22</v>
      </c>
      <c r="F32" s="39" t="s">
        <v>15</v>
      </c>
      <c r="G32" s="38" t="s">
        <v>15</v>
      </c>
      <c r="H32" s="37" t="s">
        <v>44</v>
      </c>
      <c r="I32" s="126">
        <f>SUM(C32:C36)</f>
        <v>0</v>
      </c>
      <c r="J32" s="129">
        <f>$V$6-I32</f>
        <v>85</v>
      </c>
      <c r="K32" s="132">
        <f>($V$6-I32)+K27</f>
        <v>510</v>
      </c>
      <c r="M32" s="43">
        <f>C$3 + 6</f>
        <v>43675</v>
      </c>
      <c r="N32" s="42"/>
      <c r="O32" s="55" t="s">
        <v>63</v>
      </c>
      <c r="P32" s="40" t="s">
        <v>24</v>
      </c>
      <c r="Q32" s="54" t="s">
        <v>15</v>
      </c>
      <c r="R32" s="38" t="s">
        <v>15</v>
      </c>
      <c r="S32" s="53" t="s">
        <v>43</v>
      </c>
      <c r="T32" s="22" t="s">
        <v>35</v>
      </c>
    </row>
    <row r="33" spans="2:20" x14ac:dyDescent="0.25">
      <c r="B33" s="36">
        <f>$C$3 + 5</f>
        <v>43674</v>
      </c>
      <c r="C33" s="35"/>
      <c r="D33" s="34" t="s">
        <v>63</v>
      </c>
      <c r="E33" s="33" t="s">
        <v>22</v>
      </c>
      <c r="F33" s="32" t="s">
        <v>15</v>
      </c>
      <c r="G33" s="31" t="s">
        <v>15</v>
      </c>
      <c r="H33" s="30" t="s">
        <v>44</v>
      </c>
      <c r="I33" s="127"/>
      <c r="J33" s="130"/>
      <c r="K33" s="133"/>
      <c r="M33" s="36">
        <f>C$3 + 6</f>
        <v>43675</v>
      </c>
      <c r="N33" s="35"/>
      <c r="O33" s="51" t="s">
        <v>63</v>
      </c>
      <c r="P33" s="33" t="s">
        <v>24</v>
      </c>
      <c r="Q33" s="50" t="s">
        <v>15</v>
      </c>
      <c r="R33" s="49" t="s">
        <v>15</v>
      </c>
      <c r="S33" s="48" t="s">
        <v>43</v>
      </c>
      <c r="T33" s="22" t="s">
        <v>35</v>
      </c>
    </row>
    <row r="34" spans="2:20" x14ac:dyDescent="0.25">
      <c r="B34" s="36">
        <f>$C$3 + 5</f>
        <v>43674</v>
      </c>
      <c r="C34" s="35"/>
      <c r="D34" s="34" t="s">
        <v>63</v>
      </c>
      <c r="E34" s="33" t="s">
        <v>22</v>
      </c>
      <c r="F34" s="32" t="s">
        <v>15</v>
      </c>
      <c r="G34" s="31" t="s">
        <v>15</v>
      </c>
      <c r="H34" s="30" t="s">
        <v>44</v>
      </c>
      <c r="I34" s="127"/>
      <c r="J34" s="130"/>
      <c r="K34" s="133"/>
      <c r="M34" s="36">
        <f>C$3 + 6</f>
        <v>43675</v>
      </c>
      <c r="N34" s="35"/>
      <c r="O34" s="51" t="s">
        <v>63</v>
      </c>
      <c r="P34" s="33" t="s">
        <v>25</v>
      </c>
      <c r="Q34" s="50" t="s">
        <v>15</v>
      </c>
      <c r="R34" s="49" t="s">
        <v>15</v>
      </c>
      <c r="S34" s="48" t="s">
        <v>43</v>
      </c>
      <c r="T34" s="22" t="s">
        <v>35</v>
      </c>
    </row>
    <row r="35" spans="2:20" ht="16.5" thickBot="1" x14ac:dyDescent="0.3">
      <c r="B35" s="36">
        <f>$C$3 + 5</f>
        <v>43674</v>
      </c>
      <c r="C35" s="35"/>
      <c r="D35" s="34" t="s">
        <v>63</v>
      </c>
      <c r="E35" s="33" t="s">
        <v>22</v>
      </c>
      <c r="F35" s="32" t="s">
        <v>15</v>
      </c>
      <c r="G35" s="31" t="s">
        <v>15</v>
      </c>
      <c r="H35" s="30" t="s">
        <v>44</v>
      </c>
      <c r="I35" s="127"/>
      <c r="J35" s="130"/>
      <c r="K35" s="133"/>
      <c r="M35" s="29">
        <f>C$3 + 6</f>
        <v>43675</v>
      </c>
      <c r="N35" s="28"/>
      <c r="O35" s="47" t="s">
        <v>63</v>
      </c>
      <c r="P35" s="26" t="s">
        <v>25</v>
      </c>
      <c r="Q35" s="46" t="s">
        <v>15</v>
      </c>
      <c r="R35" s="45" t="s">
        <v>15</v>
      </c>
      <c r="S35" s="44" t="s">
        <v>43</v>
      </c>
      <c r="T35" s="22" t="s">
        <v>35</v>
      </c>
    </row>
    <row r="36" spans="2:20" ht="16.5" thickBot="1" x14ac:dyDescent="0.3">
      <c r="B36" s="36">
        <f>$C$3 + 5</f>
        <v>43674</v>
      </c>
      <c r="C36" s="28"/>
      <c r="D36" s="27" t="s">
        <v>63</v>
      </c>
      <c r="E36" s="26" t="s">
        <v>22</v>
      </c>
      <c r="F36" s="25" t="s">
        <v>15</v>
      </c>
      <c r="G36" s="24" t="s">
        <v>15</v>
      </c>
      <c r="H36" s="23" t="s">
        <v>44</v>
      </c>
      <c r="I36" s="128"/>
      <c r="J36" s="131"/>
      <c r="K36" s="134"/>
      <c r="M36" s="43">
        <f>C$3 + 7</f>
        <v>43676</v>
      </c>
      <c r="N36" s="42"/>
      <c r="O36" s="55" t="s">
        <v>63</v>
      </c>
      <c r="P36" s="40" t="s">
        <v>24</v>
      </c>
      <c r="Q36" s="54" t="s">
        <v>15</v>
      </c>
      <c r="R36" s="38" t="s">
        <v>15</v>
      </c>
      <c r="S36" s="53" t="s">
        <v>43</v>
      </c>
      <c r="T36" s="22" t="s">
        <v>35</v>
      </c>
    </row>
    <row r="37" spans="2:20" x14ac:dyDescent="0.25">
      <c r="B37" s="43">
        <f>$C$3 + 6</f>
        <v>43675</v>
      </c>
      <c r="C37" s="42"/>
      <c r="D37" s="41" t="s">
        <v>63</v>
      </c>
      <c r="E37" s="40" t="s">
        <v>22</v>
      </c>
      <c r="F37" s="39" t="s">
        <v>15</v>
      </c>
      <c r="G37" s="38" t="s">
        <v>15</v>
      </c>
      <c r="H37" s="37" t="s">
        <v>44</v>
      </c>
      <c r="I37" s="126">
        <f>SUM(C37:C41)</f>
        <v>0</v>
      </c>
      <c r="J37" s="129">
        <f>$V$6-I37</f>
        <v>85</v>
      </c>
      <c r="K37" s="132">
        <f>($V$6-I37)+K32</f>
        <v>595</v>
      </c>
      <c r="M37" s="36">
        <f>C$3 + 7</f>
        <v>43676</v>
      </c>
      <c r="N37" s="35"/>
      <c r="O37" s="51" t="s">
        <v>63</v>
      </c>
      <c r="P37" s="33" t="s">
        <v>24</v>
      </c>
      <c r="Q37" s="50" t="s">
        <v>15</v>
      </c>
      <c r="R37" s="49" t="s">
        <v>15</v>
      </c>
      <c r="S37" s="48" t="s">
        <v>43</v>
      </c>
      <c r="T37" s="22" t="s">
        <v>35</v>
      </c>
    </row>
    <row r="38" spans="2:20" x14ac:dyDescent="0.25">
      <c r="B38" s="36">
        <f>$C$3 + 6</f>
        <v>43675</v>
      </c>
      <c r="C38" s="35"/>
      <c r="D38" s="34" t="s">
        <v>63</v>
      </c>
      <c r="E38" s="33" t="s">
        <v>22</v>
      </c>
      <c r="F38" s="32" t="s">
        <v>15</v>
      </c>
      <c r="G38" s="31" t="s">
        <v>15</v>
      </c>
      <c r="H38" s="30" t="s">
        <v>44</v>
      </c>
      <c r="I38" s="127"/>
      <c r="J38" s="130"/>
      <c r="K38" s="133"/>
      <c r="M38" s="36">
        <f>C$3 + 7</f>
        <v>43676</v>
      </c>
      <c r="N38" s="35"/>
      <c r="O38" s="51" t="s">
        <v>63</v>
      </c>
      <c r="P38" s="33" t="s">
        <v>25</v>
      </c>
      <c r="Q38" s="50" t="s">
        <v>15</v>
      </c>
      <c r="R38" s="49" t="s">
        <v>15</v>
      </c>
      <c r="S38" s="48" t="s">
        <v>43</v>
      </c>
      <c r="T38" s="22" t="s">
        <v>35</v>
      </c>
    </row>
    <row r="39" spans="2:20" ht="16.5" thickBot="1" x14ac:dyDescent="0.3">
      <c r="B39" s="36">
        <f>$C$3 + 6</f>
        <v>43675</v>
      </c>
      <c r="C39" s="35"/>
      <c r="D39" s="34" t="s">
        <v>63</v>
      </c>
      <c r="E39" s="33" t="s">
        <v>22</v>
      </c>
      <c r="F39" s="32" t="s">
        <v>15</v>
      </c>
      <c r="G39" s="31" t="s">
        <v>15</v>
      </c>
      <c r="H39" s="30" t="s">
        <v>44</v>
      </c>
      <c r="I39" s="127"/>
      <c r="J39" s="130"/>
      <c r="K39" s="133"/>
      <c r="M39" s="29">
        <f>C$3 + 7</f>
        <v>43676</v>
      </c>
      <c r="N39" s="28"/>
      <c r="O39" s="47" t="s">
        <v>63</v>
      </c>
      <c r="P39" s="26" t="s">
        <v>25</v>
      </c>
      <c r="Q39" s="46" t="s">
        <v>15</v>
      </c>
      <c r="R39" s="45" t="s">
        <v>15</v>
      </c>
      <c r="S39" s="44" t="s">
        <v>43</v>
      </c>
      <c r="T39" s="22" t="s">
        <v>35</v>
      </c>
    </row>
    <row r="40" spans="2:20" x14ac:dyDescent="0.25">
      <c r="B40" s="36">
        <f>$C$3 + 6</f>
        <v>43675</v>
      </c>
      <c r="C40" s="35"/>
      <c r="D40" s="34" t="s">
        <v>63</v>
      </c>
      <c r="E40" s="33" t="s">
        <v>22</v>
      </c>
      <c r="F40" s="32" t="s">
        <v>15</v>
      </c>
      <c r="G40" s="31" t="s">
        <v>15</v>
      </c>
      <c r="H40" s="30" t="s">
        <v>44</v>
      </c>
      <c r="I40" s="127"/>
      <c r="J40" s="130"/>
      <c r="K40" s="133"/>
      <c r="M40" s="43">
        <f>C$3 + 8</f>
        <v>43677</v>
      </c>
      <c r="N40" s="42"/>
      <c r="O40" s="55" t="s">
        <v>63</v>
      </c>
      <c r="P40" s="40" t="s">
        <v>24</v>
      </c>
      <c r="Q40" s="54" t="s">
        <v>15</v>
      </c>
      <c r="R40" s="38" t="s">
        <v>15</v>
      </c>
      <c r="S40" s="53" t="s">
        <v>43</v>
      </c>
      <c r="T40" s="22" t="s">
        <v>35</v>
      </c>
    </row>
    <row r="41" spans="2:20" ht="16.5" thickBot="1" x14ac:dyDescent="0.3">
      <c r="B41" s="36">
        <f>$C$3 + 6</f>
        <v>43675</v>
      </c>
      <c r="C41" s="28"/>
      <c r="D41" s="27" t="s">
        <v>63</v>
      </c>
      <c r="E41" s="26" t="s">
        <v>22</v>
      </c>
      <c r="F41" s="25" t="s">
        <v>15</v>
      </c>
      <c r="G41" s="24" t="s">
        <v>15</v>
      </c>
      <c r="H41" s="23" t="s">
        <v>44</v>
      </c>
      <c r="I41" s="128"/>
      <c r="J41" s="131"/>
      <c r="K41" s="134"/>
      <c r="M41" s="36">
        <f>C$3 + 8</f>
        <v>43677</v>
      </c>
      <c r="N41" s="35"/>
      <c r="O41" s="51" t="s">
        <v>63</v>
      </c>
      <c r="P41" s="33" t="s">
        <v>24</v>
      </c>
      <c r="Q41" s="50" t="s">
        <v>15</v>
      </c>
      <c r="R41" s="49" t="s">
        <v>15</v>
      </c>
      <c r="S41" s="48" t="s">
        <v>43</v>
      </c>
      <c r="T41" s="22" t="s">
        <v>35</v>
      </c>
    </row>
    <row r="42" spans="2:20" x14ac:dyDescent="0.25">
      <c r="B42" s="43">
        <f>$C$3 + 7</f>
        <v>43676</v>
      </c>
      <c r="C42" s="42"/>
      <c r="D42" s="41" t="s">
        <v>63</v>
      </c>
      <c r="E42" s="40" t="s">
        <v>22</v>
      </c>
      <c r="F42" s="39" t="s">
        <v>15</v>
      </c>
      <c r="G42" s="38" t="s">
        <v>15</v>
      </c>
      <c r="H42" s="37" t="s">
        <v>44</v>
      </c>
      <c r="I42" s="126">
        <f>SUM(C42:C46)</f>
        <v>0</v>
      </c>
      <c r="J42" s="129">
        <f>$V$6-I42</f>
        <v>85</v>
      </c>
      <c r="K42" s="132">
        <f>($V$6-I42)+K37</f>
        <v>680</v>
      </c>
      <c r="M42" s="36">
        <f>C$3 + 8</f>
        <v>43677</v>
      </c>
      <c r="N42" s="35"/>
      <c r="O42" s="51" t="s">
        <v>63</v>
      </c>
      <c r="P42" s="33" t="s">
        <v>25</v>
      </c>
      <c r="Q42" s="50" t="s">
        <v>15</v>
      </c>
      <c r="R42" s="49" t="s">
        <v>15</v>
      </c>
      <c r="S42" s="48" t="s">
        <v>43</v>
      </c>
      <c r="T42" s="22" t="s">
        <v>35</v>
      </c>
    </row>
    <row r="43" spans="2:20" ht="16.5" thickBot="1" x14ac:dyDescent="0.3">
      <c r="B43" s="36">
        <f>$C$3 + 7</f>
        <v>43676</v>
      </c>
      <c r="C43" s="35"/>
      <c r="D43" s="34" t="s">
        <v>63</v>
      </c>
      <c r="E43" s="33" t="s">
        <v>22</v>
      </c>
      <c r="F43" s="32" t="s">
        <v>15</v>
      </c>
      <c r="G43" s="31" t="s">
        <v>15</v>
      </c>
      <c r="H43" s="30" t="s">
        <v>44</v>
      </c>
      <c r="I43" s="127"/>
      <c r="J43" s="130"/>
      <c r="K43" s="133"/>
      <c r="M43" s="29">
        <f>C$3 + 8</f>
        <v>43677</v>
      </c>
      <c r="N43" s="28"/>
      <c r="O43" s="47" t="s">
        <v>63</v>
      </c>
      <c r="P43" s="26" t="s">
        <v>25</v>
      </c>
      <c r="Q43" s="46" t="s">
        <v>15</v>
      </c>
      <c r="R43" s="45" t="s">
        <v>15</v>
      </c>
      <c r="S43" s="44" t="s">
        <v>43</v>
      </c>
      <c r="T43" s="22" t="s">
        <v>35</v>
      </c>
    </row>
    <row r="44" spans="2:20" x14ac:dyDescent="0.25">
      <c r="B44" s="36">
        <f>$C$3 + 7</f>
        <v>43676</v>
      </c>
      <c r="C44" s="35"/>
      <c r="D44" s="34" t="s">
        <v>63</v>
      </c>
      <c r="E44" s="33" t="s">
        <v>22</v>
      </c>
      <c r="F44" s="32" t="s">
        <v>15</v>
      </c>
      <c r="G44" s="31" t="s">
        <v>15</v>
      </c>
      <c r="H44" s="30" t="s">
        <v>44</v>
      </c>
      <c r="I44" s="127"/>
      <c r="J44" s="130"/>
      <c r="K44" s="133"/>
      <c r="M44" s="43">
        <f>C$3 + 9</f>
        <v>43678</v>
      </c>
      <c r="N44" s="42"/>
      <c r="O44" s="55" t="s">
        <v>63</v>
      </c>
      <c r="P44" s="40" t="s">
        <v>24</v>
      </c>
      <c r="Q44" s="54" t="s">
        <v>15</v>
      </c>
      <c r="R44" s="38" t="s">
        <v>15</v>
      </c>
      <c r="S44" s="53" t="s">
        <v>43</v>
      </c>
      <c r="T44" s="22" t="s">
        <v>35</v>
      </c>
    </row>
    <row r="45" spans="2:20" x14ac:dyDescent="0.25">
      <c r="B45" s="36">
        <f>$C$3 + 7</f>
        <v>43676</v>
      </c>
      <c r="C45" s="35"/>
      <c r="D45" s="34" t="s">
        <v>63</v>
      </c>
      <c r="E45" s="33" t="s">
        <v>22</v>
      </c>
      <c r="F45" s="32" t="s">
        <v>15</v>
      </c>
      <c r="G45" s="31" t="s">
        <v>15</v>
      </c>
      <c r="H45" s="30" t="s">
        <v>44</v>
      </c>
      <c r="I45" s="127"/>
      <c r="J45" s="130"/>
      <c r="K45" s="133"/>
      <c r="M45" s="36">
        <f>C$3 + 9</f>
        <v>43678</v>
      </c>
      <c r="N45" s="35"/>
      <c r="O45" s="51" t="s">
        <v>63</v>
      </c>
      <c r="P45" s="33" t="s">
        <v>24</v>
      </c>
      <c r="Q45" s="50" t="s">
        <v>15</v>
      </c>
      <c r="R45" s="49" t="s">
        <v>15</v>
      </c>
      <c r="S45" s="48" t="s">
        <v>43</v>
      </c>
      <c r="T45" s="22" t="s">
        <v>35</v>
      </c>
    </row>
    <row r="46" spans="2:20" ht="16.5" thickBot="1" x14ac:dyDescent="0.3">
      <c r="B46" s="36">
        <f>$C$3 + 7</f>
        <v>43676</v>
      </c>
      <c r="C46" s="28"/>
      <c r="D46" s="27" t="s">
        <v>63</v>
      </c>
      <c r="E46" s="26" t="s">
        <v>22</v>
      </c>
      <c r="F46" s="25" t="s">
        <v>15</v>
      </c>
      <c r="G46" s="24" t="s">
        <v>15</v>
      </c>
      <c r="H46" s="23" t="s">
        <v>44</v>
      </c>
      <c r="I46" s="128"/>
      <c r="J46" s="131"/>
      <c r="K46" s="134"/>
      <c r="M46" s="36">
        <f>C$3 + 9</f>
        <v>43678</v>
      </c>
      <c r="N46" s="35"/>
      <c r="O46" s="51" t="s">
        <v>63</v>
      </c>
      <c r="P46" s="33" t="s">
        <v>25</v>
      </c>
      <c r="Q46" s="50" t="s">
        <v>15</v>
      </c>
      <c r="R46" s="49" t="s">
        <v>15</v>
      </c>
      <c r="S46" s="48" t="s">
        <v>43</v>
      </c>
      <c r="T46" s="22" t="s">
        <v>35</v>
      </c>
    </row>
    <row r="47" spans="2:20" ht="16.5" thickBot="1" x14ac:dyDescent="0.3">
      <c r="B47" s="43">
        <f>$C$3 + 8</f>
        <v>43677</v>
      </c>
      <c r="C47" s="42"/>
      <c r="D47" s="41" t="s">
        <v>63</v>
      </c>
      <c r="E47" s="40" t="s">
        <v>22</v>
      </c>
      <c r="F47" s="39" t="s">
        <v>15</v>
      </c>
      <c r="G47" s="38" t="s">
        <v>15</v>
      </c>
      <c r="H47" s="37" t="s">
        <v>44</v>
      </c>
      <c r="I47" s="126">
        <f>SUM(C47:C51)</f>
        <v>0</v>
      </c>
      <c r="J47" s="129">
        <f>$V$6-I47</f>
        <v>85</v>
      </c>
      <c r="K47" s="132">
        <f>($V$6-I47)+K42</f>
        <v>765</v>
      </c>
      <c r="M47" s="29">
        <f>C$3 + 9</f>
        <v>43678</v>
      </c>
      <c r="N47" s="28"/>
      <c r="O47" s="47" t="s">
        <v>63</v>
      </c>
      <c r="P47" s="26" t="s">
        <v>25</v>
      </c>
      <c r="Q47" s="46" t="s">
        <v>15</v>
      </c>
      <c r="R47" s="45" t="s">
        <v>15</v>
      </c>
      <c r="S47" s="44" t="s">
        <v>43</v>
      </c>
      <c r="T47" s="22" t="s">
        <v>35</v>
      </c>
    </row>
    <row r="48" spans="2:20" ht="16.5" thickBot="1" x14ac:dyDescent="0.3">
      <c r="B48" s="36">
        <f>$C$3 + 8</f>
        <v>43677</v>
      </c>
      <c r="C48" s="35"/>
      <c r="D48" s="34" t="s">
        <v>63</v>
      </c>
      <c r="E48" s="33" t="s">
        <v>22</v>
      </c>
      <c r="F48" s="32" t="s">
        <v>15</v>
      </c>
      <c r="G48" s="31" t="s">
        <v>15</v>
      </c>
      <c r="H48" s="30" t="s">
        <v>44</v>
      </c>
      <c r="I48" s="127"/>
      <c r="J48" s="130"/>
      <c r="K48" s="133"/>
      <c r="M48" s="77">
        <f>C$3 + 11</f>
        <v>43680</v>
      </c>
      <c r="N48" s="76"/>
      <c r="O48" s="75" t="s">
        <v>63</v>
      </c>
      <c r="P48" s="74" t="s">
        <v>26</v>
      </c>
      <c r="Q48" s="73" t="s">
        <v>27</v>
      </c>
      <c r="R48" s="72" t="s">
        <v>27</v>
      </c>
      <c r="S48" s="53" t="s">
        <v>43</v>
      </c>
      <c r="T48" s="22" t="s">
        <v>35</v>
      </c>
    </row>
    <row r="49" spans="2:20" x14ac:dyDescent="0.25">
      <c r="B49" s="36">
        <f>$C$3 + 8</f>
        <v>43677</v>
      </c>
      <c r="C49" s="35"/>
      <c r="D49" s="34" t="s">
        <v>63</v>
      </c>
      <c r="E49" s="33" t="s">
        <v>22</v>
      </c>
      <c r="F49" s="32" t="s">
        <v>15</v>
      </c>
      <c r="G49" s="31" t="s">
        <v>15</v>
      </c>
      <c r="H49" s="30" t="s">
        <v>44</v>
      </c>
      <c r="I49" s="127"/>
      <c r="J49" s="130"/>
      <c r="K49" s="133"/>
      <c r="S49" s="48" t="s">
        <v>43</v>
      </c>
      <c r="T49" s="22" t="s">
        <v>35</v>
      </c>
    </row>
    <row r="50" spans="2:20" x14ac:dyDescent="0.25">
      <c r="B50" s="36">
        <f>$C$3 + 8</f>
        <v>43677</v>
      </c>
      <c r="C50" s="35"/>
      <c r="D50" s="34" t="s">
        <v>63</v>
      </c>
      <c r="E50" s="33" t="s">
        <v>22</v>
      </c>
      <c r="F50" s="32" t="s">
        <v>15</v>
      </c>
      <c r="G50" s="31" t="s">
        <v>15</v>
      </c>
      <c r="H50" s="30" t="s">
        <v>44</v>
      </c>
      <c r="I50" s="127"/>
      <c r="J50" s="130"/>
      <c r="K50" s="133"/>
      <c r="S50" s="48" t="s">
        <v>43</v>
      </c>
      <c r="T50" s="22" t="s">
        <v>35</v>
      </c>
    </row>
    <row r="51" spans="2:20" ht="16.5" thickBot="1" x14ac:dyDescent="0.3">
      <c r="B51" s="29">
        <f>$C$3 + 8</f>
        <v>43677</v>
      </c>
      <c r="C51" s="28"/>
      <c r="D51" s="27" t="s">
        <v>63</v>
      </c>
      <c r="E51" s="26" t="s">
        <v>22</v>
      </c>
      <c r="F51" s="25" t="s">
        <v>15</v>
      </c>
      <c r="G51" s="24" t="s">
        <v>15</v>
      </c>
      <c r="H51" s="23" t="s">
        <v>44</v>
      </c>
      <c r="I51" s="128"/>
      <c r="J51" s="131"/>
      <c r="K51" s="134"/>
      <c r="S51" s="44" t="s">
        <v>43</v>
      </c>
      <c r="T51" s="22" t="s">
        <v>35</v>
      </c>
    </row>
    <row r="52" spans="2:20" ht="16.5" thickBot="1" x14ac:dyDescent="0.3">
      <c r="B52" s="86"/>
      <c r="C52" s="117"/>
      <c r="D52" s="118"/>
      <c r="E52" s="84"/>
      <c r="F52" s="119"/>
      <c r="G52" s="119"/>
      <c r="H52" s="120"/>
      <c r="I52" s="121"/>
      <c r="J52" s="121"/>
      <c r="K52" s="122"/>
      <c r="S52" s="71" t="s">
        <v>46</v>
      </c>
      <c r="T52" s="22" t="s">
        <v>35</v>
      </c>
    </row>
  </sheetData>
  <mergeCells count="34">
    <mergeCell ref="B5:K5"/>
    <mergeCell ref="M5:S5"/>
    <mergeCell ref="F2:N2"/>
    <mergeCell ref="U2:V2"/>
    <mergeCell ref="F3:N3"/>
    <mergeCell ref="U3:V3"/>
    <mergeCell ref="F4:N4"/>
    <mergeCell ref="I7:I11"/>
    <mergeCell ref="J7:J11"/>
    <mergeCell ref="K7:K11"/>
    <mergeCell ref="I12:I16"/>
    <mergeCell ref="J12:J16"/>
    <mergeCell ref="K12:K16"/>
    <mergeCell ref="I17:I21"/>
    <mergeCell ref="J17:J21"/>
    <mergeCell ref="K17:K21"/>
    <mergeCell ref="I22:I26"/>
    <mergeCell ref="J22:J26"/>
    <mergeCell ref="K22:K26"/>
    <mergeCell ref="I27:I31"/>
    <mergeCell ref="J27:J31"/>
    <mergeCell ref="K27:K31"/>
    <mergeCell ref="I32:I36"/>
    <mergeCell ref="J32:J36"/>
    <mergeCell ref="K32:K36"/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</mergeCells>
  <conditionalFormatting sqref="R3">
    <cfRule type="cellIs" dxfId="7" priority="6" operator="greaterThan">
      <formula>0</formula>
    </cfRule>
  </conditionalFormatting>
  <conditionalFormatting sqref="M7:S47 M48:R48">
    <cfRule type="expression" dxfId="6" priority="8">
      <formula>$M7&gt;$C$3+$V$5-1</formula>
    </cfRule>
  </conditionalFormatting>
  <conditionalFormatting sqref="F4 P3">
    <cfRule type="cellIs" dxfId="5" priority="4" operator="greaterThan">
      <formula>0</formula>
    </cfRule>
  </conditionalFormatting>
  <conditionalFormatting sqref="B7:K51">
    <cfRule type="expression" dxfId="4" priority="9">
      <formula>$B7&gt;$C$3+$V$5-1</formula>
    </cfRule>
  </conditionalFormatting>
  <conditionalFormatting sqref="J7:J51 V10">
    <cfRule type="cellIs" dxfId="3" priority="3" operator="lessThan">
      <formula>0</formula>
    </cfRule>
  </conditionalFormatting>
  <conditionalFormatting sqref="S52">
    <cfRule type="expression" dxfId="2" priority="12">
      <formula>$M48&gt;$C$3+$V$5-1</formula>
    </cfRule>
  </conditionalFormatting>
  <conditionalFormatting sqref="S48:S51">
    <cfRule type="expression" dxfId="1" priority="13">
      <formula>#REF!&gt;$C$3+$V$5-1</formula>
    </cfRule>
  </conditionalFormatting>
  <conditionalFormatting sqref="V16">
    <cfRule type="cellIs" dxfId="0" priority="1" operator="notEqual">
      <formula>$V$15</formula>
    </cfRule>
  </conditionalFormatting>
  <dataValidations disablePrompts="1" count="5">
    <dataValidation type="list" allowBlank="1" showInputMessage="1" showErrorMessage="1" sqref="Q3 D7:D52 O7:O48">
      <formula1>currencies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P7:P48">
      <formula1>"Taxi,Taxi (uber),Estacionamento,Prints"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20</xdr:col>
                    <xdr:colOff>266700</xdr:colOff>
                    <xdr:row>16</xdr:row>
                    <xdr:rowOff>123825</xdr:rowOff>
                  </from>
                  <to>
                    <xdr:col>21</xdr:col>
                    <xdr:colOff>571500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266700</xdr:colOff>
                    <xdr:row>19</xdr:row>
                    <xdr:rowOff>76200</xdr:rowOff>
                  </from>
                  <to>
                    <xdr:col>21</xdr:col>
                    <xdr:colOff>571500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257175</xdr:colOff>
                    <xdr:row>22</xdr:row>
                    <xdr:rowOff>38100</xdr:rowOff>
                  </from>
                  <to>
                    <xdr:col>21</xdr:col>
                    <xdr:colOff>571500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0" r:id="rId7" name="Button 6">
              <controlPr defaultSize="0" print="0" autoFill="0" autoPict="0" macro="[0]!CallScan">
                <anchor moveWithCells="1" sizeWithCells="1">
                  <from>
                    <xdr:col>20</xdr:col>
                    <xdr:colOff>257175</xdr:colOff>
                    <xdr:row>24</xdr:row>
                    <xdr:rowOff>171450</xdr:rowOff>
                  </from>
                  <to>
                    <xdr:col>20</xdr:col>
                    <xdr:colOff>876300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8" name="Button 7">
              <controlPr defaultSize="0" print="0" autoFill="0" autoPict="0" macro="[0]!CallClean">
                <anchor moveWithCells="1" sizeWithCells="1">
                  <from>
                    <xdr:col>20</xdr:col>
                    <xdr:colOff>981075</xdr:colOff>
                    <xdr:row>24</xdr:row>
                    <xdr:rowOff>161925</xdr:rowOff>
                  </from>
                  <to>
                    <xdr:col>21</xdr:col>
                    <xdr:colOff>552450</xdr:colOff>
                    <xdr:row>26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ErrorMessage="1">
          <x14:formula1>
            <xm:f>Config!$U$2:$U$8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3"/>
  <sheetViews>
    <sheetView topLeftCell="A7" zoomScale="90" zoomScaleNormal="90" workbookViewId="0">
      <selection activeCell="E22" sqref="E22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123"/>
      <c r="P1" s="13" t="s">
        <v>33</v>
      </c>
      <c r="Q1" s="8" t="s">
        <v>61</v>
      </c>
      <c r="S1" s="96" t="s">
        <v>95</v>
      </c>
      <c r="T1" t="s">
        <v>35</v>
      </c>
      <c r="U1" s="111" t="s">
        <v>117</v>
      </c>
      <c r="V1" s="112" t="s">
        <v>118</v>
      </c>
    </row>
    <row r="2" spans="1:22" ht="16.5" thickBot="1" x14ac:dyDescent="0.3">
      <c r="B2" s="97" t="s">
        <v>28</v>
      </c>
      <c r="C2" s="98" t="s">
        <v>29</v>
      </c>
      <c r="D2" s="4" t="s">
        <v>21</v>
      </c>
      <c r="F2" s="144" t="s">
        <v>40</v>
      </c>
      <c r="G2" s="145"/>
      <c r="H2" s="145"/>
      <c r="I2" s="145"/>
      <c r="J2" s="145"/>
      <c r="K2" s="145"/>
      <c r="L2" s="146"/>
      <c r="P2" s="14" t="s">
        <v>48</v>
      </c>
      <c r="Q2" s="1" t="s">
        <v>62</v>
      </c>
      <c r="S2" s="1" t="s">
        <v>22</v>
      </c>
      <c r="T2" t="s">
        <v>35</v>
      </c>
      <c r="U2" s="114">
        <v>2076</v>
      </c>
      <c r="V2" s="5" t="s">
        <v>120</v>
      </c>
    </row>
    <row r="3" spans="1:22" ht="16.5" thickBot="1" x14ac:dyDescent="0.3">
      <c r="B3" s="142" t="s">
        <v>1</v>
      </c>
      <c r="C3" s="99"/>
      <c r="D3" s="5"/>
      <c r="F3" s="148" t="str">
        <f>2058 &amp;" - "&amp; "Renner Expense Sheet" &amp;" - "&amp; D4 &amp;" - " &amp;TEXT($A$1,"AAAAMMDD")&amp;" - " &amp;TEXT($A$2,"AAAAMMDD")</f>
        <v>2058 - Renner Expense Sheet - Thiago Weidman - 19000100 - 19000100</v>
      </c>
      <c r="G3" s="149"/>
      <c r="H3" s="149"/>
      <c r="I3" s="149"/>
      <c r="J3" s="149"/>
      <c r="K3" s="149"/>
      <c r="L3" s="150"/>
      <c r="P3" s="15" t="s">
        <v>49</v>
      </c>
      <c r="Q3" s="2" t="s">
        <v>63</v>
      </c>
      <c r="S3" s="2" t="s">
        <v>32</v>
      </c>
      <c r="T3" t="s">
        <v>35</v>
      </c>
      <c r="U3" s="115">
        <v>2070</v>
      </c>
      <c r="V3" s="11" t="s">
        <v>121</v>
      </c>
    </row>
    <row r="4" spans="1:22" ht="16.5" thickBot="1" x14ac:dyDescent="0.3">
      <c r="B4" s="147"/>
      <c r="C4" s="100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5">
        <v>2000</v>
      </c>
      <c r="V4" s="11" t="s">
        <v>119</v>
      </c>
    </row>
    <row r="5" spans="1:22" x14ac:dyDescent="0.25">
      <c r="B5" s="162" t="s">
        <v>41</v>
      </c>
      <c r="C5" s="6" t="s">
        <v>36</v>
      </c>
      <c r="D5" s="5" t="s">
        <v>124</v>
      </c>
      <c r="P5" s="15" t="s">
        <v>51</v>
      </c>
      <c r="Q5" s="2" t="s">
        <v>65</v>
      </c>
      <c r="S5" s="2" t="s">
        <v>129</v>
      </c>
      <c r="T5" t="s">
        <v>35</v>
      </c>
      <c r="U5" s="115">
        <v>2089</v>
      </c>
      <c r="V5" s="11" t="s">
        <v>122</v>
      </c>
    </row>
    <row r="6" spans="1:22" ht="16.5" thickBot="1" x14ac:dyDescent="0.3">
      <c r="B6" s="163"/>
      <c r="C6" s="9" t="s">
        <v>37</v>
      </c>
      <c r="D6" s="11" t="s">
        <v>127</v>
      </c>
      <c r="P6" s="15" t="s">
        <v>52</v>
      </c>
      <c r="Q6" s="2" t="s">
        <v>66</v>
      </c>
      <c r="S6" s="2" t="s">
        <v>97</v>
      </c>
      <c r="T6" t="s">
        <v>35</v>
      </c>
      <c r="U6" s="115">
        <v>2099</v>
      </c>
      <c r="V6" s="11" t="s">
        <v>123</v>
      </c>
    </row>
    <row r="7" spans="1:22" x14ac:dyDescent="0.25">
      <c r="B7" s="163"/>
      <c r="C7" s="9" t="s">
        <v>38</v>
      </c>
      <c r="D7" s="11" t="s">
        <v>86</v>
      </c>
      <c r="G7" s="153" t="s">
        <v>70</v>
      </c>
      <c r="H7" s="154"/>
      <c r="I7" s="154"/>
      <c r="J7" s="154"/>
      <c r="K7" s="155"/>
      <c r="P7" s="15" t="s">
        <v>53</v>
      </c>
      <c r="Q7" s="2" t="s">
        <v>67</v>
      </c>
      <c r="S7" s="2" t="s">
        <v>112</v>
      </c>
      <c r="T7" t="s">
        <v>35</v>
      </c>
      <c r="U7" s="115">
        <v>2101</v>
      </c>
      <c r="V7" s="11" t="s">
        <v>128</v>
      </c>
    </row>
    <row r="8" spans="1:22" x14ac:dyDescent="0.25">
      <c r="B8" s="163"/>
      <c r="C8" s="9" t="s">
        <v>39</v>
      </c>
      <c r="D8" s="11" t="s">
        <v>126</v>
      </c>
      <c r="G8" s="156"/>
      <c r="H8" s="157"/>
      <c r="I8" s="157"/>
      <c r="J8" s="157"/>
      <c r="K8" s="158"/>
      <c r="P8" s="15" t="s">
        <v>42</v>
      </c>
      <c r="Q8" s="2"/>
      <c r="S8" s="2" t="s">
        <v>113</v>
      </c>
      <c r="T8" t="s">
        <v>35</v>
      </c>
      <c r="U8" s="115"/>
      <c r="V8" s="11"/>
    </row>
    <row r="9" spans="1:22" x14ac:dyDescent="0.25">
      <c r="B9" s="163"/>
      <c r="C9" s="9" t="s">
        <v>59</v>
      </c>
      <c r="D9" s="11" t="s">
        <v>90</v>
      </c>
      <c r="G9" s="156"/>
      <c r="H9" s="157"/>
      <c r="I9" s="157"/>
      <c r="J9" s="157"/>
      <c r="K9" s="158"/>
      <c r="P9" s="15" t="s">
        <v>43</v>
      </c>
      <c r="Q9" s="2"/>
      <c r="S9" s="2"/>
      <c r="T9" t="s">
        <v>35</v>
      </c>
      <c r="U9" s="115"/>
      <c r="V9" s="11"/>
    </row>
    <row r="10" spans="1:22" x14ac:dyDescent="0.25">
      <c r="B10" s="163"/>
      <c r="C10" s="9" t="s">
        <v>68</v>
      </c>
      <c r="D10" s="19" t="s">
        <v>89</v>
      </c>
      <c r="G10" s="156"/>
      <c r="H10" s="157"/>
      <c r="I10" s="157"/>
      <c r="J10" s="157"/>
      <c r="K10" s="158"/>
      <c r="P10" s="15" t="s">
        <v>44</v>
      </c>
      <c r="Q10" s="2"/>
      <c r="S10" s="2"/>
      <c r="T10" t="s">
        <v>35</v>
      </c>
      <c r="U10" s="115"/>
      <c r="V10" s="11"/>
    </row>
    <row r="11" spans="1:22" x14ac:dyDescent="0.25">
      <c r="B11" s="163"/>
      <c r="C11" s="9" t="s">
        <v>78</v>
      </c>
      <c r="D11" s="102" t="s">
        <v>114</v>
      </c>
      <c r="G11" s="156"/>
      <c r="H11" s="157"/>
      <c r="I11" s="157"/>
      <c r="J11" s="157"/>
      <c r="K11" s="158"/>
      <c r="P11" s="15" t="s">
        <v>54</v>
      </c>
      <c r="Q11" s="2"/>
      <c r="S11" s="2"/>
      <c r="T11" t="s">
        <v>35</v>
      </c>
      <c r="U11" s="115"/>
      <c r="V11" s="11"/>
    </row>
    <row r="12" spans="1:22" ht="16.5" thickBot="1" x14ac:dyDescent="0.3">
      <c r="B12" s="163"/>
      <c r="C12" s="9" t="s">
        <v>87</v>
      </c>
      <c r="D12" s="19" t="s">
        <v>88</v>
      </c>
      <c r="G12" s="159"/>
      <c r="H12" s="160"/>
      <c r="I12" s="160"/>
      <c r="J12" s="160"/>
      <c r="K12" s="161"/>
      <c r="P12" s="15" t="s">
        <v>45</v>
      </c>
      <c r="Q12" s="2"/>
      <c r="S12" s="2"/>
      <c r="T12" t="s">
        <v>35</v>
      </c>
      <c r="U12" s="115"/>
      <c r="V12" s="11"/>
    </row>
    <row r="13" spans="1:22" ht="15.75" customHeight="1" x14ac:dyDescent="0.25">
      <c r="B13" s="163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5"/>
      <c r="V13" s="11"/>
    </row>
    <row r="14" spans="1:22" ht="15.75" customHeight="1" x14ac:dyDescent="0.25">
      <c r="B14" s="163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5"/>
      <c r="V14" s="11"/>
    </row>
    <row r="15" spans="1:22" ht="15.75" customHeight="1" x14ac:dyDescent="0.25">
      <c r="B15" s="163"/>
      <c r="C15" s="9" t="s">
        <v>102</v>
      </c>
      <c r="D15" s="102" t="s">
        <v>111</v>
      </c>
      <c r="P15" s="15" t="s">
        <v>56</v>
      </c>
      <c r="Q15" s="2"/>
      <c r="S15" s="2"/>
      <c r="T15" t="s">
        <v>35</v>
      </c>
      <c r="U15" s="115"/>
      <c r="V15" s="11"/>
    </row>
    <row r="16" spans="1:22" ht="15.75" customHeight="1" x14ac:dyDescent="0.25">
      <c r="B16" s="163"/>
      <c r="C16" s="9" t="s">
        <v>103</v>
      </c>
      <c r="D16" s="102" t="s">
        <v>115</v>
      </c>
      <c r="P16" s="15" t="s">
        <v>57</v>
      </c>
      <c r="Q16" s="2"/>
      <c r="S16" s="2"/>
      <c r="T16" t="s">
        <v>35</v>
      </c>
      <c r="U16" s="115"/>
      <c r="V16" s="11"/>
    </row>
    <row r="17" spans="2:22" ht="15.75" customHeight="1" x14ac:dyDescent="0.25">
      <c r="B17" s="163"/>
      <c r="C17" s="9" t="s">
        <v>104</v>
      </c>
      <c r="D17" s="19" t="s">
        <v>106</v>
      </c>
      <c r="P17" s="15" t="s">
        <v>58</v>
      </c>
      <c r="Q17" s="2"/>
      <c r="S17" s="2"/>
      <c r="T17" t="s">
        <v>35</v>
      </c>
      <c r="U17" s="115"/>
      <c r="V17" s="11"/>
    </row>
    <row r="18" spans="2:22" ht="15.75" customHeight="1" x14ac:dyDescent="0.25">
      <c r="B18" s="163"/>
      <c r="C18" s="9" t="s">
        <v>105</v>
      </c>
      <c r="D18" s="19" t="s">
        <v>130</v>
      </c>
      <c r="P18" s="15"/>
      <c r="Q18" s="2"/>
      <c r="S18" s="2"/>
      <c r="T18" t="s">
        <v>35</v>
      </c>
      <c r="U18" s="115"/>
      <c r="V18" s="11"/>
    </row>
    <row r="19" spans="2:22" ht="15.75" customHeight="1" x14ac:dyDescent="0.25">
      <c r="B19" s="163"/>
      <c r="C19" s="9" t="s">
        <v>109</v>
      </c>
      <c r="D19" s="19" t="s">
        <v>110</v>
      </c>
      <c r="P19" s="15"/>
      <c r="Q19" s="2"/>
      <c r="S19" s="2"/>
      <c r="T19" t="s">
        <v>35</v>
      </c>
      <c r="U19" s="115"/>
      <c r="V19" s="11"/>
    </row>
    <row r="20" spans="2:22" ht="15.75" customHeight="1" x14ac:dyDescent="0.25">
      <c r="B20" s="163"/>
      <c r="C20" s="9" t="s">
        <v>116</v>
      </c>
      <c r="D20" s="19" t="s">
        <v>125</v>
      </c>
      <c r="P20" s="15"/>
      <c r="Q20" s="2"/>
      <c r="S20" s="2"/>
      <c r="T20" t="s">
        <v>35</v>
      </c>
      <c r="U20" s="115"/>
      <c r="V20" s="11"/>
    </row>
    <row r="21" spans="2:22" x14ac:dyDescent="0.25">
      <c r="B21" s="163"/>
      <c r="C21" s="9" t="s">
        <v>107</v>
      </c>
      <c r="D21" s="19" t="s">
        <v>108</v>
      </c>
      <c r="P21" s="15"/>
      <c r="Q21" s="2"/>
      <c r="S21" s="2"/>
      <c r="T21" t="s">
        <v>35</v>
      </c>
      <c r="U21" s="115"/>
      <c r="V21" s="11"/>
    </row>
    <row r="22" spans="2:22" ht="16.5" thickBot="1" x14ac:dyDescent="0.3">
      <c r="B22" s="164"/>
      <c r="C22" s="7" t="s">
        <v>131</v>
      </c>
      <c r="D22" s="18" t="s">
        <v>133</v>
      </c>
      <c r="P22" s="15"/>
      <c r="Q22" s="2"/>
      <c r="S22" s="2"/>
      <c r="T22" t="s">
        <v>35</v>
      </c>
      <c r="U22" s="115"/>
      <c r="V22" s="11"/>
    </row>
    <row r="23" spans="2:22" ht="15.75" customHeight="1" x14ac:dyDescent="0.25">
      <c r="B23" s="151" t="s">
        <v>69</v>
      </c>
      <c r="C23" s="124" t="s">
        <v>71</v>
      </c>
      <c r="D23" s="125" t="s">
        <v>79</v>
      </c>
      <c r="P23" s="15"/>
      <c r="Q23" s="2"/>
      <c r="S23" s="2"/>
      <c r="T23" t="s">
        <v>35</v>
      </c>
      <c r="U23" s="115"/>
      <c r="V23" s="11"/>
    </row>
    <row r="24" spans="2:22" ht="16.5" thickBot="1" x14ac:dyDescent="0.3">
      <c r="B24" s="151"/>
      <c r="C24" s="9" t="s">
        <v>72</v>
      </c>
      <c r="D24" s="20" t="s">
        <v>80</v>
      </c>
      <c r="P24" s="16"/>
      <c r="Q24" s="3"/>
      <c r="S24" s="3"/>
      <c r="T24" t="s">
        <v>35</v>
      </c>
      <c r="U24" s="116"/>
      <c r="V24" s="110"/>
    </row>
    <row r="25" spans="2:22" x14ac:dyDescent="0.25">
      <c r="B25" s="151"/>
      <c r="C25" s="9" t="s">
        <v>76</v>
      </c>
      <c r="D25" s="20" t="s">
        <v>81</v>
      </c>
      <c r="Q25" s="17"/>
    </row>
    <row r="26" spans="2:22" x14ac:dyDescent="0.25">
      <c r="B26" s="151"/>
      <c r="C26" s="9" t="s">
        <v>73</v>
      </c>
      <c r="D26" s="20" t="s">
        <v>82</v>
      </c>
      <c r="Q26" s="17"/>
    </row>
    <row r="27" spans="2:22" x14ac:dyDescent="0.25">
      <c r="B27" s="151"/>
      <c r="C27" s="9" t="s">
        <v>74</v>
      </c>
      <c r="D27" s="20" t="s">
        <v>83</v>
      </c>
      <c r="Q27" s="17"/>
    </row>
    <row r="28" spans="2:22" x14ac:dyDescent="0.25">
      <c r="B28" s="151"/>
      <c r="C28" s="9" t="s">
        <v>77</v>
      </c>
      <c r="D28" s="20" t="s">
        <v>84</v>
      </c>
      <c r="Q28" s="17"/>
    </row>
    <row r="29" spans="2:22" ht="16.5" thickBot="1" x14ac:dyDescent="0.3">
      <c r="B29" s="152"/>
      <c r="C29" s="7" t="s">
        <v>75</v>
      </c>
      <c r="D29" s="21" t="s">
        <v>85</v>
      </c>
      <c r="Q29" s="17"/>
    </row>
    <row r="30" spans="2:22" ht="16.5" thickBot="1" x14ac:dyDescent="0.3">
      <c r="Q30" s="17"/>
    </row>
    <row r="31" spans="2:22" x14ac:dyDescent="0.25">
      <c r="B31" s="142" t="s">
        <v>98</v>
      </c>
      <c r="C31" s="99" t="s">
        <v>99</v>
      </c>
      <c r="D31" s="5" t="s">
        <v>100</v>
      </c>
      <c r="Q31" s="17"/>
    </row>
    <row r="32" spans="2:22" ht="16.5" thickBot="1" x14ac:dyDescent="0.3">
      <c r="B32" s="143"/>
      <c r="C32" s="109" t="s">
        <v>101</v>
      </c>
      <c r="D32" s="110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070119</vt:lpstr>
      <vt:lpstr>Config</vt:lpstr>
      <vt:lpstr>currencies</vt:lpstr>
      <vt:lpstr>expense_codes</vt:lpstr>
      <vt:lpstr>MEALS</vt:lpstr>
      <vt:lpstr>'070119'!Print_Area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2019-08-16T18:04:21Z</cp:lastPrinted>
  <dcterms:created xsi:type="dcterms:W3CDTF">2015-01-25T11:31:25Z</dcterms:created>
  <dcterms:modified xsi:type="dcterms:W3CDTF">2019-08-23T12:14:29Z</dcterms:modified>
</cp:coreProperties>
</file>