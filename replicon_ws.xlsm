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54" l="1"/>
  <c r="V7" i="54"/>
  <c r="V8" i="54" s="1"/>
  <c r="V11" i="54" s="1"/>
  <c r="V14" i="54"/>
  <c r="V13" i="54"/>
  <c r="V16" i="54" s="1"/>
  <c r="V10" i="54"/>
  <c r="F3" i="2"/>
  <c r="D2" i="54" l="1"/>
  <c r="M48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M12" i="54"/>
  <c r="B13" i="54"/>
  <c r="M11" i="54"/>
  <c r="I12" i="54"/>
  <c r="B12" i="54"/>
  <c r="M10" i="54"/>
  <c r="B11" i="54"/>
  <c r="M9" i="54"/>
  <c r="B10" i="54"/>
  <c r="M8" i="54"/>
  <c r="B9" i="54"/>
  <c r="B8" i="54"/>
  <c r="M7" i="54"/>
  <c r="I7" i="54"/>
  <c r="K7" i="54" s="1"/>
  <c r="B7" i="54"/>
  <c r="K12" i="54" l="1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<sst xmlns="http://schemas.openxmlformats.org/spreadsheetml/2006/main" count="681" uniqueCount="142">
  <si>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</si>
  <si>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</si>
  <si>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</si>
  <si>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</si>
  <si>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</si>
  <si>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</si>
  <si>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</si>
  <si>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</si>
  <si>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</si>
  <si>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</si>
  <si>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</si>
  <si>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</si>
  <si>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</si>
  <si>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</si>
  <si>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</si>
  <si>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</si>
  <si>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</si>
  <si>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</si>
  <si>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</si>
  <si>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</si>
  <si>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</si>
  <si>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</si>
  <si>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</si>
  <si>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</si>
  <si>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</si>
  <si>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</si>
  <si>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</si>
  <si>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</si>
  <si>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</si>
  <si>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</si>
  <si>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</si>
  <si>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</si>
  <si>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</si>
  <si>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</si>
  <si>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</si>
  <si>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</si>
  <si>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</si>
  <si>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</si>
  <si>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</si>
  <si>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</si>
  <si>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</si>
  <si>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</si>
  <si>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</si>
  <si>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</si>
  <si>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</si>
  <si>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</si>
  <si>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</si>
  <si>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</si>
  <si>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</si>
  <si>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</si>
  <si>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</si>
  <si>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</si>
  <si>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</si>
  <si>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</si>
  <si>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</si>
  <si>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</si>
  <si>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</si>
  <si>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</si>
  <si>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</si>
  <si>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</si>
  <si>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</si>
  <si>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</si>
  <si>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</si>
  <si>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</si>
  <si>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</si>
  <si>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</si>
  <si>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</si>
  <si>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</si>
  <si>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</si>
  <si>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</si>
  <si>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</si>
  <si>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</si>
  <si>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</si>
  <si>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</si>
  <si>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</si>
  <si>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</si>
  <si>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</si>
  <si>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</si>
  <si>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</si>
  <si>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</si>
  <si>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</si>
  <si>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</si>
  <si>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</si>
  <si>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</si>
  <si>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</si>
  <si>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</si>
  <si>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</si>
  <si>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</si>
  <si>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</si>
  <si>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</si>
  <si>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</si>
  <si>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</si>
  <si>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</si>
  <si>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</si>
  <si>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</si>
  <si>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</si>
  <si>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</si>
  <si>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</si>
  <si>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</si>
  <si>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</si>
  <si>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</si>
  <si>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</si>
  <si>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</si>
  <si>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</si>
  <si>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</si>
  <si>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</si>
  <si>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</si>
  <si>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</si>
  <si>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</si>
  <si>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</si>
  <si>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</si>
  <si>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</si>
  <si>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</si>
  <si>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</si>
  <si>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</si>
  <si>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</si>
  <si>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</si>
  <si>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</si>
  <si>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</si>
  <si>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</si>
  <si>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</si>
  <si>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</si>
  <si>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</si>
  <si>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</si>
  <si>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</si>
  <si>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</si>
  <si>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</si>
  <si>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</si>
  <si>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</si>
  <si>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</si>
  <si>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</si>
  <si>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</si>
  <si>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</si>
  <si>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C:\Users\LOGIC\Dropbox\Trabalho\Replicon\123</t>
  </si>
  <si>
    <t>State</t>
  </si>
  <si>
    <t>Daily Budget</t>
  </si>
  <si>
    <t>RS</t>
  </si>
  <si>
    <t>SP</t>
  </si>
  <si>
    <t>V17</t>
  </si>
  <si>
    <t>Estado</t>
  </si>
  <si>
    <t>Logic - General</t>
  </si>
  <si>
    <t>Camicado &amp; Youcom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</si>
</sst>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9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165" fontId="0" fillId="0" borderId="7" xfId="1" applyFont="1" applyBorder="1"/>
    <xf numFmtId="165" fontId="0" fillId="0" borderId="36" xfId="1" applyFont="1" applyBorder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18</xdr:row>
          <xdr:rowOff>187323</xdr:rowOff>
        </xdr:from>
        <xdr:to>
          <xdr:col>21</xdr:col>
          <xdr:colOff>571500</xdr:colOff>
          <xdr:row>21</xdr:row>
          <xdr:rowOff>22223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129115</xdr:rowOff>
        </xdr:from>
        <xdr:to>
          <xdr:col>21</xdr:col>
          <xdr:colOff>571500</xdr:colOff>
          <xdr:row>23</xdr:row>
          <xdr:rowOff>195790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24</xdr:row>
          <xdr:rowOff>91015</xdr:rowOff>
        </xdr:from>
        <xdr:to>
          <xdr:col>21</xdr:col>
          <xdr:colOff>571500</xdr:colOff>
          <xdr:row>26</xdr:row>
          <xdr:rowOff>148165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27</xdr:row>
          <xdr:rowOff>12698</xdr:rowOff>
        </xdr:from>
        <xdr:to>
          <xdr:col>20</xdr:col>
          <xdr:colOff>876300</xdr:colOff>
          <xdr:row>29</xdr:row>
          <xdr:rowOff>42332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27</xdr:row>
          <xdr:rowOff>3173</xdr:rowOff>
        </xdr:from>
        <xdr:to>
          <xdr:col>21</xdr:col>
          <xdr:colOff>552450</xdr:colOff>
          <xdr:row>29</xdr:row>
          <xdr:rowOff>42332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5"/>
  <sheetViews>
    <sheetView showGridLines="0" tabSelected="1" zoomScale="90" zoomScaleNormal="90" workbookViewId="0">
      <selection activeCell="F8" sqref="F8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2107</v>
      </c>
      <c r="D2" s="92" t="str">
        <f>VLOOKUP(C2,Config!U1:V24,2,FALSE)</f>
        <v>Camicado &amp; Youcom</v>
      </c>
      <c r="F2" s="128" t="s">
        <v>1</v>
      </c>
      <c r="G2" s="128"/>
      <c r="H2" s="128"/>
      <c r="I2" s="128"/>
      <c r="J2" s="128"/>
      <c r="K2" s="128"/>
      <c r="L2" s="128"/>
      <c r="M2" s="128"/>
      <c r="N2" s="128"/>
      <c r="O2" s="95"/>
      <c r="Q2" s="107" t="s">
        <v>60</v>
      </c>
      <c r="R2" s="107" t="s">
        <v>23</v>
      </c>
      <c r="U2" s="128" t="s">
        <v>47</v>
      </c>
      <c r="V2" s="128"/>
      <c r="W2" s="94"/>
    </row>
    <row r="3" spans="1:23" x14ac:dyDescent="0.25">
      <c r="B3" s="93" t="s">
        <v>2</v>
      </c>
      <c r="C3" s="92">
        <v>43713</v>
      </c>
      <c r="D3" s="91"/>
      <c r="F3" s="129" t="str">
        <f>$C$2 &amp;" - "&amp;VLOOKUP(C2,Config!U1:V24,2,FALSE) &amp;" Expense Sheet - "&amp; V6 &amp;" - " &amp; Config!$D$4 &amp;" - " &amp;TEXT($C$3,"AAAAMMDD")&amp;" - " &amp;TEXT($C$3+V5-1,"AAAAMMDD")</f>
        <v>2107 - Camicado &amp; Youcom Expense Sheet - RS - Thiago Weidman - 20190905 - 20190908</v>
      </c>
      <c r="G3" s="129"/>
      <c r="H3" s="129"/>
      <c r="I3" s="129"/>
      <c r="J3" s="129"/>
      <c r="K3" s="129"/>
      <c r="L3" s="129"/>
      <c r="M3" s="129"/>
      <c r="N3" s="129"/>
      <c r="O3" s="90"/>
      <c r="P3" s="89"/>
      <c r="Q3" s="88" t="s">
        <v>63</v>
      </c>
      <c r="R3" s="108"/>
      <c r="U3" s="130" t="s">
        <v>133</v>
      </c>
      <c r="V3" s="131"/>
      <c r="W3" s="87"/>
    </row>
    <row r="4" spans="1:23" x14ac:dyDescent="0.25">
      <c r="B4" s="84"/>
      <c r="C4" s="86"/>
      <c r="D4" s="86"/>
      <c r="E4" s="84"/>
      <c r="F4" s="132"/>
      <c r="G4" s="132"/>
      <c r="H4" s="132"/>
      <c r="I4" s="132"/>
      <c r="J4" s="132"/>
      <c r="K4" s="132"/>
      <c r="L4" s="132"/>
      <c r="M4" s="132"/>
      <c r="N4" s="132"/>
      <c r="O4" s="85"/>
      <c r="P4" s="84"/>
      <c r="Q4" s="84"/>
      <c r="R4" s="84"/>
      <c r="S4" s="84"/>
      <c r="T4" s="84"/>
      <c r="U4" s="84"/>
    </row>
    <row r="5" spans="1:23" x14ac:dyDescent="0.25">
      <c r="B5" s="126" t="s">
        <v>3</v>
      </c>
      <c r="C5" s="126"/>
      <c r="D5" s="126"/>
      <c r="E5" s="126"/>
      <c r="F5" s="126"/>
      <c r="G5" s="126"/>
      <c r="H5" s="126"/>
      <c r="I5" s="126"/>
      <c r="J5" s="126"/>
      <c r="K5" s="126"/>
      <c r="M5" s="127" t="s">
        <v>4</v>
      </c>
      <c r="N5" s="127"/>
      <c r="O5" s="127"/>
      <c r="P5" s="127"/>
      <c r="Q5" s="127"/>
      <c r="R5" s="127"/>
      <c r="S5" s="127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139</v>
      </c>
      <c r="V6" s="168" t="s">
        <v>136</v>
      </c>
    </row>
    <row r="7" spans="1:23" ht="16.5" thickBot="1" x14ac:dyDescent="0.3">
      <c r="B7" s="43">
        <f>$C$3</f>
        <v>43713</v>
      </c>
      <c r="C7" s="42">
        <v>12</v>
      </c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3">
        <f>SUM(C7:C11)</f>
        <v>12</v>
      </c>
      <c r="J7" s="136">
        <f>$V$7-I7</f>
        <v>73</v>
      </c>
      <c r="K7" s="139">
        <f>($V$7-I7)</f>
        <v>73</v>
      </c>
      <c r="M7" s="77">
        <f>C$3 + $V$5 -1</f>
        <v>43716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14</v>
      </c>
      <c r="V7" s="35">
        <f>VLOOKUP(V6,Config!X2:Y24,2,FALSE)</f>
        <v>85</v>
      </c>
    </row>
    <row r="8" spans="1:23" x14ac:dyDescent="0.25">
      <c r="B8" s="52">
        <f>$C$3</f>
        <v>43713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4"/>
      <c r="J8" s="137"/>
      <c r="K8" s="140"/>
      <c r="M8" s="43">
        <f>C$3</f>
        <v>43713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  <c r="U8" s="61" t="s">
        <v>16</v>
      </c>
      <c r="V8" s="35">
        <f>V7*V5</f>
        <v>340</v>
      </c>
    </row>
    <row r="9" spans="1:23" x14ac:dyDescent="0.25">
      <c r="B9" s="52">
        <f>$C$3</f>
        <v>43713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4"/>
      <c r="J9" s="137"/>
      <c r="K9" s="140"/>
      <c r="M9" s="36">
        <f>C$3</f>
        <v>43713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V9" s="167"/>
    </row>
    <row r="10" spans="1:23" x14ac:dyDescent="0.25">
      <c r="B10" s="52">
        <f>$C$3</f>
        <v>43713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4"/>
      <c r="J10" s="137"/>
      <c r="K10" s="140"/>
      <c r="M10" s="36">
        <f>C$3</f>
        <v>43713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17</v>
      </c>
      <c r="V10" s="35">
        <f>SUM(C7:C52)</f>
        <v>12</v>
      </c>
    </row>
    <row r="11" spans="1:23" ht="16.5" thickBot="1" x14ac:dyDescent="0.3">
      <c r="B11" s="56">
        <f>$C$3</f>
        <v>43713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5"/>
      <c r="J11" s="138"/>
      <c r="K11" s="141"/>
      <c r="M11" s="29">
        <f>C$3</f>
        <v>43713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1" t="s">
        <v>12</v>
      </c>
      <c r="V11" s="35">
        <f>V8-V10</f>
        <v>328</v>
      </c>
    </row>
    <row r="12" spans="1:23" x14ac:dyDescent="0.25">
      <c r="B12" s="43">
        <f>$C$3 +1</f>
        <v>43714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3">
        <f>SUM(C12:C16)</f>
        <v>0</v>
      </c>
      <c r="J12" s="136">
        <f>$V$7-I12</f>
        <v>85</v>
      </c>
      <c r="K12" s="139">
        <f>($V$7-I12)+K7</f>
        <v>158</v>
      </c>
      <c r="L12" s="62"/>
      <c r="M12" s="43">
        <f>C$3 + 1</f>
        <v>43714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6"/>
      <c r="V12" s="65"/>
    </row>
    <row r="13" spans="1:23" x14ac:dyDescent="0.25">
      <c r="B13" s="52">
        <f>$C$3 +1</f>
        <v>43714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4"/>
      <c r="J13" s="137"/>
      <c r="K13" s="140"/>
      <c r="L13" s="62"/>
      <c r="M13" s="36">
        <f>C$3 + 1</f>
        <v>43714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18</v>
      </c>
      <c r="V13" s="60">
        <f>SUM(N8:N48)</f>
        <v>0</v>
      </c>
    </row>
    <row r="14" spans="1:23" x14ac:dyDescent="0.25">
      <c r="B14" s="52">
        <f>$C$3 +1</f>
        <v>43714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4"/>
      <c r="J14" s="137"/>
      <c r="K14" s="140"/>
      <c r="L14" s="62"/>
      <c r="M14" s="36">
        <f>C$3 + 1</f>
        <v>43714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U14" s="61" t="s">
        <v>20</v>
      </c>
      <c r="V14" s="60">
        <f>SUM(N7)</f>
        <v>0</v>
      </c>
    </row>
    <row r="15" spans="1:23" ht="16.5" thickBot="1" x14ac:dyDescent="0.3">
      <c r="B15" s="52">
        <f>$C$3 +1</f>
        <v>43714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4"/>
      <c r="J15" s="137"/>
      <c r="K15" s="140"/>
      <c r="L15" s="62"/>
      <c r="M15" s="29">
        <f>C$3 + 1</f>
        <v>43714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V15" s="65"/>
    </row>
    <row r="16" spans="1:23" ht="16.5" thickBot="1" x14ac:dyDescent="0.3">
      <c r="B16" s="56">
        <f>$C$3 +1</f>
        <v>43714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5"/>
      <c r="J16" s="138"/>
      <c r="K16" s="141"/>
      <c r="M16" s="43">
        <f>C$3 + 2</f>
        <v>43715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19</v>
      </c>
      <c r="V16" s="60">
        <f>V13+V10+V14</f>
        <v>12</v>
      </c>
    </row>
    <row r="17" spans="2:22" x14ac:dyDescent="0.25">
      <c r="B17" s="43">
        <f>$C$3 +2</f>
        <v>43715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3">
        <f>SUM(C17:C21)</f>
        <v>0</v>
      </c>
      <c r="J17" s="136">
        <f>$V$7-I17</f>
        <v>85</v>
      </c>
      <c r="K17" s="139">
        <f>($V$7-I17)+K12</f>
        <v>243</v>
      </c>
      <c r="M17" s="36">
        <f>C$3 + 2</f>
        <v>43715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U17" s="61" t="s">
        <v>132</v>
      </c>
      <c r="V17" s="60">
        <v>12</v>
      </c>
    </row>
    <row r="18" spans="2:22" x14ac:dyDescent="0.25">
      <c r="B18" s="52">
        <f>$C$3 +2</f>
        <v>43715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4"/>
      <c r="J18" s="137"/>
      <c r="K18" s="140"/>
      <c r="M18" s="36">
        <f>C$3 + 2</f>
        <v>43715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43715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4"/>
      <c r="J19" s="137"/>
      <c r="K19" s="140"/>
      <c r="M19" s="29">
        <f>C$3 + 2</f>
        <v>43715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43715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4"/>
      <c r="J20" s="137"/>
      <c r="K20" s="140"/>
      <c r="M20" s="43">
        <f>C$3 + 3</f>
        <v>43716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43715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5"/>
      <c r="J21" s="138"/>
      <c r="K21" s="141"/>
      <c r="M21" s="36">
        <f>C$3 + 3</f>
        <v>43716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43716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3">
        <f>SUM(C22:C26)</f>
        <v>0</v>
      </c>
      <c r="J22" s="136">
        <f>$V$7-I22</f>
        <v>85</v>
      </c>
      <c r="K22" s="139">
        <f>($V$7-I22)+K17</f>
        <v>328</v>
      </c>
      <c r="M22" s="36">
        <f>C$3 + 3</f>
        <v>43716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43716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4"/>
      <c r="J23" s="137"/>
      <c r="K23" s="140"/>
      <c r="M23" s="29">
        <f>C$3 + 3</f>
        <v>43716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43716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34"/>
      <c r="J24" s="137"/>
      <c r="K24" s="140"/>
      <c r="M24" s="43">
        <f>C$3 + 4</f>
        <v>43717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43716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4"/>
      <c r="J25" s="137"/>
      <c r="K25" s="140"/>
      <c r="M25" s="36">
        <f>C$3 + 4</f>
        <v>43717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43716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5"/>
      <c r="J26" s="138"/>
      <c r="K26" s="141"/>
      <c r="M26" s="36">
        <f>C$3 + 4</f>
        <v>43717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43717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3">
        <f>SUM(C27:C31)</f>
        <v>0</v>
      </c>
      <c r="J27" s="136">
        <f>$V$7-I27</f>
        <v>85</v>
      </c>
      <c r="K27" s="139">
        <f>($V$7-I27)+K22</f>
        <v>413</v>
      </c>
      <c r="M27" s="29">
        <f>C$3 + 4</f>
        <v>43717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43717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4"/>
      <c r="J28" s="137"/>
      <c r="K28" s="140"/>
      <c r="M28" s="43">
        <f>C$3 + 5</f>
        <v>43718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43717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4"/>
      <c r="J29" s="137"/>
      <c r="K29" s="140"/>
      <c r="M29" s="36">
        <f>C$3 + 5</f>
        <v>43718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43717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4"/>
      <c r="J30" s="137"/>
      <c r="K30" s="140"/>
      <c r="M30" s="36">
        <f>C$3 + 5</f>
        <v>43718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43717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5"/>
      <c r="J31" s="138"/>
      <c r="K31" s="141"/>
      <c r="M31" s="29">
        <f>C$3 + 5</f>
        <v>43718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43718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3">
        <f>SUM(C32:C36)</f>
        <v>0</v>
      </c>
      <c r="J32" s="136">
        <f>$V$7-I32</f>
        <v>85</v>
      </c>
      <c r="K32" s="139">
        <f>($V$7-I32)+K27</f>
        <v>498</v>
      </c>
      <c r="M32" s="43">
        <f>C$3 + 6</f>
        <v>43719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43718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4"/>
      <c r="J33" s="137"/>
      <c r="K33" s="140"/>
      <c r="M33" s="36">
        <f>C$3 + 6</f>
        <v>43719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43718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4"/>
      <c r="J34" s="137"/>
      <c r="K34" s="140"/>
      <c r="M34" s="36">
        <f>C$3 + 6</f>
        <v>43719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43718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4"/>
      <c r="J35" s="137"/>
      <c r="K35" s="140"/>
      <c r="M35" s="29">
        <f>C$3 + 6</f>
        <v>43719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43718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5"/>
      <c r="J36" s="138"/>
      <c r="K36" s="141"/>
      <c r="M36" s="43">
        <f>C$3 + 7</f>
        <v>43720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43719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3">
        <f>SUM(C37:C41)</f>
        <v>0</v>
      </c>
      <c r="J37" s="136">
        <f>$V$7-I37</f>
        <v>85</v>
      </c>
      <c r="K37" s="139">
        <f>($V$7-I37)+K32</f>
        <v>583</v>
      </c>
      <c r="M37" s="36">
        <f>C$3 + 7</f>
        <v>43720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43719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4"/>
      <c r="J38" s="137"/>
      <c r="K38" s="140"/>
      <c r="M38" s="36">
        <f>C$3 + 7</f>
        <v>43720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43719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4"/>
      <c r="J39" s="137"/>
      <c r="K39" s="140"/>
      <c r="M39" s="29">
        <f>C$3 + 7</f>
        <v>43720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43719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4"/>
      <c r="J40" s="137"/>
      <c r="K40" s="140"/>
      <c r="M40" s="43">
        <f>C$3 + 8</f>
        <v>43721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43719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5"/>
      <c r="J41" s="138"/>
      <c r="K41" s="141"/>
      <c r="M41" s="36">
        <f>C$3 + 8</f>
        <v>43721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43720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3">
        <f>SUM(C42:C46)</f>
        <v>0</v>
      </c>
      <c r="J42" s="136">
        <f>$V$7-I42</f>
        <v>85</v>
      </c>
      <c r="K42" s="139">
        <f>($V$7-I42)+K37</f>
        <v>668</v>
      </c>
      <c r="M42" s="36">
        <f>C$3 + 8</f>
        <v>43721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43720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4"/>
      <c r="J43" s="137"/>
      <c r="K43" s="140"/>
      <c r="M43" s="29">
        <f>C$3 + 8</f>
        <v>43721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43720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4"/>
      <c r="J44" s="137"/>
      <c r="K44" s="140"/>
      <c r="M44" s="43">
        <f>C$3 + 9</f>
        <v>43722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43720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4"/>
      <c r="J45" s="137"/>
      <c r="K45" s="140"/>
      <c r="M45" s="36">
        <f>C$3 + 9</f>
        <v>43722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43720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5"/>
      <c r="J46" s="138"/>
      <c r="K46" s="141"/>
      <c r="M46" s="36">
        <f>C$3 + 9</f>
        <v>43722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43721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3">
        <f>SUM(C47:C51)</f>
        <v>0</v>
      </c>
      <c r="J47" s="136">
        <f>$V$7-I47</f>
        <v>85</v>
      </c>
      <c r="K47" s="139">
        <f>($V$7-I47)+K42</f>
        <v>753</v>
      </c>
      <c r="M47" s="29">
        <f>C$3 + 9</f>
        <v>43722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43721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4"/>
      <c r="J48" s="137"/>
      <c r="K48" s="140"/>
      <c r="M48" s="77">
        <f>C$3 + 11</f>
        <v>43724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43721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4"/>
      <c r="J49" s="137"/>
      <c r="K49" s="140"/>
      <c r="S49" s="48" t="s">
        <v>43</v>
      </c>
      <c r="T49" s="22" t="s">
        <v>35</v>
      </c>
    </row>
    <row r="50" spans="2:20" x14ac:dyDescent="0.25">
      <c r="B50" s="36">
        <f>$C$3 + 8</f>
        <v>43721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4"/>
      <c r="J50" s="137"/>
      <c r="K50" s="140"/>
      <c r="S50" s="48" t="s">
        <v>43</v>
      </c>
      <c r="T50" s="22" t="s">
        <v>35</v>
      </c>
    </row>
    <row r="51" spans="2:20" ht="16.5" thickBot="1" x14ac:dyDescent="0.3">
      <c r="B51" s="29">
        <f>$C$3 + 8</f>
        <v>43721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5"/>
      <c r="J51" s="138"/>
      <c r="K51" s="141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B5:K5"/>
    <mergeCell ref="M5:S5"/>
    <mergeCell ref="F2:N2"/>
    <mergeCell ref="U2:V2"/>
    <mergeCell ref="F3:N3"/>
    <mergeCell ref="U3:V3"/>
    <mergeCell ref="F4:N4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1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7">
    <cfRule type="cellIs" dxfId="0" priority="1" operator="notEqual">
      <formula>$V$16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18</xdr:row>
                    <xdr:rowOff>190500</xdr:rowOff>
                  </from>
                  <to>
                    <xdr:col>21</xdr:col>
                    <xdr:colOff>571500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21</xdr:row>
                    <xdr:rowOff>133350</xdr:rowOff>
                  </from>
                  <to>
                    <xdr:col>21</xdr:col>
                    <xdr:colOff>571500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24</xdr:row>
                    <xdr:rowOff>95250</xdr:rowOff>
                  </from>
                  <to>
                    <xdr:col>21</xdr:col>
                    <xdr:colOff>571500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27</xdr:row>
                    <xdr:rowOff>9525</xdr:rowOff>
                  </from>
                  <to>
                    <xdr:col>20</xdr:col>
                    <xdr:colOff>876300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27</xdr:row>
                    <xdr:rowOff>0</xdr:rowOff>
                  </from>
                  <to>
                    <xdr:col>21</xdr:col>
                    <xdr:colOff>552450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>
          <x14:formula1>
            <xm:f>Config!$U$2:$U$9</xm:f>
          </x14:formula1>
          <xm:sqref>C2</xm:sqref>
        </x14:dataValidation>
        <x14:dataValidation type="list" allowBlank="1" showInputMessage="1" showErrorMessage="1">
          <x14:formula1>
            <xm:f>Config!$X$2:$X$3</xm:f>
          </x14:formula1>
          <xm:sqref>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Y43"/>
  <sheetViews>
    <sheetView topLeftCell="I1" zoomScale="90" zoomScaleNormal="90" workbookViewId="0">
      <selection activeCell="U2" sqref="U2:V9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  <col min="23" max="23" width="1.375" bestFit="1" customWidth="1"/>
    <col min="24" max="24" width="6.5" customWidth="1"/>
    <col min="25" max="25" width="11.375" customWidth="1"/>
  </cols>
  <sheetData>
    <row r="1" spans="1:25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  <c r="W1" t="s">
        <v>35</v>
      </c>
      <c r="X1" s="111" t="s">
        <v>134</v>
      </c>
      <c r="Y1" s="112" t="s">
        <v>135</v>
      </c>
    </row>
    <row r="2" spans="1:25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  <c r="W2" t="s">
        <v>35</v>
      </c>
      <c r="X2" s="114" t="s">
        <v>136</v>
      </c>
      <c r="Y2" s="165">
        <v>85</v>
      </c>
    </row>
    <row r="3" spans="1:25" ht="16.5" thickBot="1" x14ac:dyDescent="0.3">
      <c r="B3" s="142" t="s">
        <v>1</v>
      </c>
      <c r="C3" s="99"/>
      <c r="D3" s="5"/>
      <c r="F3" s="148" t="str">
        <f>2058 &amp;" - "&amp; "Renner Expense Sheet" &amp;" - "&amp; X2 &amp;" - "&amp; D4 &amp;" - " &amp;TEXT($A$1,"AAAAMMDD")&amp;" - " &amp;TEXT($A$2,"AAAAMMDD")</f>
        <v>2058 - Renner Expense Sheet - RS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  <c r="W3" t="s">
        <v>35</v>
      </c>
      <c r="X3" s="115" t="s">
        <v>137</v>
      </c>
      <c r="Y3" s="166">
        <v>100</v>
      </c>
    </row>
    <row r="4" spans="1:25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  <c r="W4" t="s">
        <v>35</v>
      </c>
      <c r="X4" s="115"/>
      <c r="Y4" s="11"/>
    </row>
    <row r="5" spans="1:25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  <c r="W5" t="s">
        <v>35</v>
      </c>
      <c r="X5" s="115"/>
      <c r="Y5" s="11"/>
    </row>
    <row r="6" spans="1:25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  <c r="W6" t="s">
        <v>35</v>
      </c>
      <c r="X6" s="115"/>
      <c r="Y6" s="11"/>
    </row>
    <row r="7" spans="1:25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  <c r="W7" t="s">
        <v>35</v>
      </c>
      <c r="X7" s="115"/>
      <c r="Y7" s="11"/>
    </row>
    <row r="8" spans="1:25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>
        <v>2000</v>
      </c>
      <c r="V8" s="11" t="s">
        <v>140</v>
      </c>
      <c r="W8" t="s">
        <v>35</v>
      </c>
      <c r="X8" s="115"/>
      <c r="Y8" s="11"/>
    </row>
    <row r="9" spans="1:25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>
        <v>2107</v>
      </c>
      <c r="V9" s="11" t="s">
        <v>141</v>
      </c>
      <c r="W9" t="s">
        <v>35</v>
      </c>
      <c r="X9" s="115"/>
      <c r="Y9" s="11"/>
    </row>
    <row r="10" spans="1:25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  <c r="W10" t="s">
        <v>35</v>
      </c>
      <c r="X10" s="115"/>
      <c r="Y10" s="11"/>
    </row>
    <row r="11" spans="1:25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  <c r="W11" t="s">
        <v>35</v>
      </c>
      <c r="X11" s="115"/>
      <c r="Y11" s="11"/>
    </row>
    <row r="12" spans="1:25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  <c r="W12" t="s">
        <v>35</v>
      </c>
      <c r="X12" s="115"/>
      <c r="Y12" s="11"/>
    </row>
    <row r="13" spans="1:25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  <c r="W13" t="s">
        <v>35</v>
      </c>
      <c r="X13" s="115"/>
      <c r="Y13" s="11"/>
    </row>
    <row r="14" spans="1:25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  <c r="W14" t="s">
        <v>35</v>
      </c>
      <c r="X14" s="115"/>
      <c r="Y14" s="11"/>
    </row>
    <row r="15" spans="1:25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  <c r="W15" t="s">
        <v>35</v>
      </c>
      <c r="X15" s="115"/>
      <c r="Y15" s="11"/>
    </row>
    <row r="16" spans="1:25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  <c r="W16" t="s">
        <v>35</v>
      </c>
      <c r="X16" s="115"/>
      <c r="Y16" s="11"/>
    </row>
    <row r="17" spans="2:25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  <c r="W17" t="s">
        <v>35</v>
      </c>
      <c r="X17" s="115"/>
      <c r="Y17" s="11"/>
    </row>
    <row r="18" spans="2:25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  <c r="W18" t="s">
        <v>35</v>
      </c>
      <c r="X18" s="115"/>
      <c r="Y18" s="11"/>
    </row>
    <row r="19" spans="2:25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  <c r="W19" t="s">
        <v>35</v>
      </c>
      <c r="X19" s="115"/>
      <c r="Y19" s="11"/>
    </row>
    <row r="20" spans="2:25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  <c r="W20" t="s">
        <v>35</v>
      </c>
      <c r="X20" s="115"/>
      <c r="Y20" s="11"/>
    </row>
    <row r="21" spans="2:25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  <c r="W21" t="s">
        <v>35</v>
      </c>
      <c r="X21" s="115"/>
      <c r="Y21" s="11"/>
    </row>
    <row r="22" spans="2:25" ht="16.5" thickBot="1" x14ac:dyDescent="0.3">
      <c r="B22" s="164"/>
      <c r="C22" s="7" t="s">
        <v>131</v>
      </c>
      <c r="D22" s="18" t="s">
        <v>138</v>
      </c>
      <c r="P22" s="15"/>
      <c r="Q22" s="2"/>
      <c r="S22" s="2"/>
      <c r="T22" t="s">
        <v>35</v>
      </c>
      <c r="U22" s="115"/>
      <c r="V22" s="11"/>
      <c r="W22" t="s">
        <v>35</v>
      </c>
      <c r="X22" s="115"/>
      <c r="Y22" s="11"/>
    </row>
    <row r="23" spans="2:25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  <c r="W23" t="s">
        <v>35</v>
      </c>
      <c r="X23" s="115"/>
      <c r="Y23" s="11"/>
    </row>
    <row r="24" spans="2:25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  <c r="W24" t="s">
        <v>35</v>
      </c>
      <c r="X24" s="116"/>
      <c r="Y24" s="110"/>
    </row>
    <row r="25" spans="2:25" x14ac:dyDescent="0.25">
      <c r="B25" s="151"/>
      <c r="C25" s="9" t="s">
        <v>76</v>
      </c>
      <c r="D25" s="20" t="s">
        <v>81</v>
      </c>
      <c r="Q25" s="17"/>
    </row>
    <row r="26" spans="2:25" x14ac:dyDescent="0.25">
      <c r="B26" s="151"/>
      <c r="C26" s="9" t="s">
        <v>73</v>
      </c>
      <c r="D26" s="20" t="s">
        <v>82</v>
      </c>
      <c r="Q26" s="17"/>
    </row>
    <row r="27" spans="2:25" x14ac:dyDescent="0.25">
      <c r="B27" s="151"/>
      <c r="C27" s="9" t="s">
        <v>74</v>
      </c>
      <c r="D27" s="20" t="s">
        <v>83</v>
      </c>
      <c r="Q27" s="17"/>
    </row>
    <row r="28" spans="2:25" x14ac:dyDescent="0.25">
      <c r="B28" s="151"/>
      <c r="C28" s="9" t="s">
        <v>77</v>
      </c>
      <c r="D28" s="20" t="s">
        <v>84</v>
      </c>
      <c r="Q28" s="17"/>
    </row>
    <row r="29" spans="2:25" ht="16.5" thickBot="1" x14ac:dyDescent="0.3">
      <c r="B29" s="152"/>
      <c r="C29" s="7" t="s">
        <v>75</v>
      </c>
      <c r="D29" s="21" t="s">
        <v>85</v>
      </c>
      <c r="Q29" s="17"/>
    </row>
    <row r="30" spans="2:25" ht="16.5" thickBot="1" x14ac:dyDescent="0.3">
      <c r="Q30" s="17"/>
    </row>
    <row r="31" spans="2:25" x14ac:dyDescent="0.25">
      <c r="B31" s="142" t="s">
        <v>98</v>
      </c>
      <c r="C31" s="99" t="s">
        <v>99</v>
      </c>
      <c r="D31" s="5" t="s">
        <v>100</v>
      </c>
      <c r="Q31" s="17"/>
    </row>
    <row r="32" spans="2:25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2019-08-16T18:04:21Z</cp:lastPrinted>
  <dcterms:created xsi:type="dcterms:W3CDTF">2015-01-25T11:31:25Z</dcterms:created>
  <dcterms:modified xsi:type="dcterms:W3CDTF">2019-12-07T01:04:45Z</dcterms:modified>
</cp:coreProperties>
</file>