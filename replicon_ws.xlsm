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<sst xmlns="http://schemas.openxmlformats.org/spreadsheetml/2006/main" count="649" uniqueCount="135">
  <si>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</si>
  <si>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</si>
  <si>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</si>
  <si>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</si>
  <si>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</si>
  <si>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</si>
  <si>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</si>
  <si>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</si>
  <si>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</si>
  <si>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</si>
  <si>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</si>
  <si>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</si>
  <si>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</si>
  <si>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</si>
  <si>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</si>
  <si>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</si>
  <si>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</si>
  <si>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</si>
  <si>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</si>
  <si>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</si>
  <si>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</si>
  <si>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</si>
  <si>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</si>
  <si>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</si>
  <si>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</si>
  <si>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</si>
  <si>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</si>
  <si>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</si>
  <si>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</si>
  <si>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</si>
  <si>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</si>
  <si>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</si>
  <si>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</si>
  <si>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</si>
  <si>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</si>
  <si>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</si>
  <si>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</si>
  <si>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</si>
  <si>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</si>
  <si>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</si>
  <si>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</si>
  <si>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</si>
  <si>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</si>
  <si>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</si>
  <si>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</si>
  <si>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</si>
  <si>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</si>
  <si>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</si>
  <si>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</si>
  <si>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</si>
  <si>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</si>
  <si>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</si>
  <si>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</si>
  <si>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</si>
  <si>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</si>
  <si>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</si>
  <si>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</si>
  <si>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</si>
  <si>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</si>
  <si>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</si>
  <si>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</si>
  <si>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</si>
  <si>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</si>
  <si>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</si>
  <si>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</si>
  <si>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</si>
  <si>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</si>
  <si>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</si>
  <si>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</si>
  <si>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</si>
  <si>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</si>
  <si>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</si>
  <si>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</si>
  <si>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</si>
  <si>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</si>
  <si>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</si>
  <si>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</si>
  <si>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</si>
  <si>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</si>
  <si>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</si>
  <si>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</si>
  <si>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</si>
  <si>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</si>
  <si>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</si>
  <si>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</si>
  <si>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</si>
  <si>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</si>
  <si>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</si>
  <si>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</si>
  <si>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</si>
  <si>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</si>
  <si>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</si>
  <si>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</si>
  <si>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</si>
  <si>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</si>
  <si>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</si>
  <si>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</si>
  <si>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</si>
  <si>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</si>
  <si>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</si>
  <si>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</si>
  <si>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</si>
  <si>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</si>
  <si>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</si>
  <si>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</si>
  <si>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</si>
  <si>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</si>
  <si>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</si>
  <si>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</si>
  <si>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</si>
  <si>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</si>
  <si>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</si>
  <si>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</si>
  <si>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</si>
  <si>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</si>
  <si>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</si>
  <si>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</si>
  <si>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</si>
  <si>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</si>
  <si>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</si>
  <si>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</si>
  <si>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</si>
  <si>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</si>
  <si>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</si>
  <si>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</si>
  <si>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</si>
  <si>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</si>
  <si>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</si>
  <si>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</si>
  <si>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</si>
  <si>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</si>
  <si>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C:\Users\LOGIC\Dropbox\Trabalho\Replicon\78401</t>
  </si>
  <si>
    <t>Repl Return amount Cell</t>
  </si>
  <si>
    <t>Repl Total</t>
  </si>
  <si>
    <t>V16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</si>
</sst>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16</xdr:row>
          <xdr:rowOff>123825</xdr:rowOff>
        </xdr:from>
        <xdr:to>
          <xdr:col>21</xdr:col>
          <xdr:colOff>581025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19</xdr:row>
          <xdr:rowOff>76200</xdr:rowOff>
        </xdr:from>
        <xdr:to>
          <xdr:col>21</xdr:col>
          <xdr:colOff>581025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22</xdr:row>
          <xdr:rowOff>38100</xdr:rowOff>
        </xdr:from>
        <xdr:to>
          <xdr:col>21</xdr:col>
          <xdr:colOff>581025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tabSelected="1" zoomScale="90" zoomScaleNormal="90" workbookViewId="0">
      <selection activeCell="E25" sqref="E25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28" t="s">
        <v>1</v>
      </c>
      <c r="G2" s="128"/>
      <c r="H2" s="128"/>
      <c r="I2" s="128"/>
      <c r="J2" s="128"/>
      <c r="K2" s="128"/>
      <c r="L2" s="128"/>
      <c r="M2" s="128"/>
      <c r="N2" s="128"/>
      <c r="O2" s="95"/>
      <c r="Q2" s="107" t="s">
        <v>60</v>
      </c>
      <c r="R2" s="107" t="s">
        <v>23</v>
      </c>
      <c r="U2" s="128" t="s">
        <v>47</v>
      </c>
      <c r="V2" s="128"/>
      <c r="W2" s="94"/>
    </row>
    <row r="3" spans="1:23" x14ac:dyDescent="0.25">
      <c r="B3" s="93" t="s">
        <v>2</v>
      </c>
      <c r="C3" s="92">
        <v>43500</v>
      </c>
      <c r="D3" s="91"/>
      <c r="F3" s="129" t="str">
        <f>$C$2 &amp;" - "&amp;VLOOKUP(C2,Config!U1:V24,2,FALSE) &amp;" Expense Sheet - "&amp; Config!$D$4 &amp;" - " &amp;TEXT($C$3,"AAAAMMDD")&amp;" - " &amp;TEXT($C$3+V5-1,"AAAAMMDD")</f>
        <v>2076 - Renner Backport Expense Sheet - Thiago Weidman - 20190204 - 20190207</v>
      </c>
      <c r="G3" s="129"/>
      <c r="H3" s="129"/>
      <c r="I3" s="129"/>
      <c r="J3" s="129"/>
      <c r="K3" s="129"/>
      <c r="L3" s="129"/>
      <c r="M3" s="129"/>
      <c r="N3" s="129"/>
      <c r="O3" s="90"/>
      <c r="P3" s="89"/>
      <c r="Q3" s="88" t="s">
        <v>63</v>
      </c>
      <c r="R3" s="108"/>
      <c r="U3" s="130" t="s">
        <v>131</v>
      </c>
      <c r="V3" s="131"/>
      <c r="W3" s="87"/>
    </row>
    <row r="4" spans="1:23" x14ac:dyDescent="0.25">
      <c r="B4" s="84"/>
      <c r="C4" s="86"/>
      <c r="D4" s="86"/>
      <c r="E4" s="84"/>
      <c r="F4" s="132"/>
      <c r="G4" s="132"/>
      <c r="H4" s="132"/>
      <c r="I4" s="132"/>
      <c r="J4" s="132"/>
      <c r="K4" s="132"/>
      <c r="L4" s="132"/>
      <c r="M4" s="132"/>
      <c r="N4" s="132"/>
      <c r="O4" s="85"/>
      <c r="P4" s="84"/>
      <c r="Q4" s="84"/>
      <c r="R4" s="84"/>
      <c r="S4" s="84"/>
      <c r="T4" s="84"/>
      <c r="U4" s="84"/>
    </row>
    <row r="5" spans="1:23" x14ac:dyDescent="0.25">
      <c r="B5" s="126" t="s">
        <v>3</v>
      </c>
      <c r="C5" s="126"/>
      <c r="D5" s="126"/>
      <c r="E5" s="126"/>
      <c r="F5" s="126"/>
      <c r="G5" s="126"/>
      <c r="H5" s="126"/>
      <c r="I5" s="126"/>
      <c r="J5" s="126"/>
      <c r="K5" s="126"/>
      <c r="M5" s="127" t="s">
        <v>4</v>
      </c>
      <c r="N5" s="127"/>
      <c r="O5" s="127"/>
      <c r="P5" s="127"/>
      <c r="Q5" s="127"/>
      <c r="R5" s="127"/>
      <c r="S5" s="127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43500</v>
      </c>
      <c r="C7" s="42">
        <v>19.899999999999999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3">
        <f>SUM(C7:C11)</f>
        <v>66.23</v>
      </c>
      <c r="J7" s="136">
        <f>$V$6-I7</f>
        <v>18.769999999999996</v>
      </c>
      <c r="K7" s="139">
        <f>($V$6-I7)</f>
        <v>18.769999999999996</v>
      </c>
      <c r="M7" s="77">
        <f>C$3 + $V$5 -1</f>
        <v>43503</v>
      </c>
      <c r="N7" s="76">
        <v>225</v>
      </c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43500</v>
      </c>
      <c r="C8" s="105">
        <v>21.03</v>
      </c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4"/>
      <c r="J8" s="137"/>
      <c r="K8" s="140"/>
      <c r="M8" s="43">
        <f>C$3</f>
        <v>43500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43500</v>
      </c>
      <c r="C9" s="70">
        <v>25.3</v>
      </c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4"/>
      <c r="J9" s="137"/>
      <c r="K9" s="140"/>
      <c r="M9" s="36">
        <f>C$3</f>
        <v>43500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335.25</v>
      </c>
    </row>
    <row r="10" spans="1:23" x14ac:dyDescent="0.25">
      <c r="B10" s="52">
        <f>$C$3</f>
        <v>43500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4"/>
      <c r="J10" s="137"/>
      <c r="K10" s="140"/>
      <c r="M10" s="36">
        <f>C$3</f>
        <v>43500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4.75</v>
      </c>
    </row>
    <row r="11" spans="1:23" ht="16.5" thickBot="1" x14ac:dyDescent="0.3">
      <c r="B11" s="56">
        <f>$C$3</f>
        <v>43500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5"/>
      <c r="J11" s="138"/>
      <c r="K11" s="141"/>
      <c r="M11" s="29">
        <f>C$3</f>
        <v>43500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43501</v>
      </c>
      <c r="C12" s="42">
        <v>29.7</v>
      </c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3">
        <f>SUM(C12:C16)</f>
        <v>111.06</v>
      </c>
      <c r="J12" s="136">
        <f>$V$6-I12</f>
        <v>-26.060000000000002</v>
      </c>
      <c r="K12" s="139">
        <f>($V$6-I12)+K7</f>
        <v>-7.2900000000000063</v>
      </c>
      <c r="L12" s="62"/>
      <c r="M12" s="43">
        <f>C$3 + 1</f>
        <v>43501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43501</v>
      </c>
      <c r="C13" s="35">
        <v>44</v>
      </c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4"/>
      <c r="J13" s="137"/>
      <c r="K13" s="140"/>
      <c r="L13" s="62"/>
      <c r="M13" s="36">
        <f>C$3 + 1</f>
        <v>43501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225</v>
      </c>
    </row>
    <row r="14" spans="1:23" x14ac:dyDescent="0.25">
      <c r="B14" s="52">
        <f>$C$3 +1</f>
        <v>43501</v>
      </c>
      <c r="C14" s="35">
        <v>37.36</v>
      </c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4"/>
      <c r="J14" s="137"/>
      <c r="K14" s="140"/>
      <c r="L14" s="62"/>
      <c r="M14" s="36">
        <f>C$3 + 1</f>
        <v>43501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43501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4"/>
      <c r="J15" s="137"/>
      <c r="K15" s="140"/>
      <c r="L15" s="62"/>
      <c r="M15" s="29">
        <f>C$3 + 1</f>
        <v>43501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560.25</v>
      </c>
    </row>
    <row r="16" spans="1:23" ht="16.5" thickBot="1" x14ac:dyDescent="0.3">
      <c r="B16" s="56">
        <f>$C$3 +1</f>
        <v>43501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5"/>
      <c r="J16" s="138"/>
      <c r="K16" s="141"/>
      <c r="M16" s="43">
        <f>C$3 + 2</f>
        <v>43502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133</v>
      </c>
      <c r="V16" s="60">
        <v>652.46</v>
      </c>
    </row>
    <row r="17" spans="2:22" x14ac:dyDescent="0.25">
      <c r="B17" s="43">
        <f>$C$3 +2</f>
        <v>43502</v>
      </c>
      <c r="C17" s="42">
        <v>30</v>
      </c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3">
        <f>SUM(C17:C21)</f>
        <v>92.759999999999991</v>
      </c>
      <c r="J17" s="136">
        <f>$V$6-I17</f>
        <v>-7.7599999999999909</v>
      </c>
      <c r="K17" s="139">
        <f>($V$6-I17)+K12</f>
        <v>-15.049999999999997</v>
      </c>
      <c r="M17" s="36">
        <f>C$3 + 2</f>
        <v>43502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43502</v>
      </c>
      <c r="C18" s="35">
        <v>62.76</v>
      </c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4"/>
      <c r="J18" s="137"/>
      <c r="K18" s="140"/>
      <c r="M18" s="36">
        <f>C$3 + 2</f>
        <v>43502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43502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4"/>
      <c r="J19" s="137"/>
      <c r="K19" s="140"/>
      <c r="M19" s="29">
        <f>C$3 + 2</f>
        <v>43502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43502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4"/>
      <c r="J20" s="137"/>
      <c r="K20" s="140"/>
      <c r="M20" s="43">
        <f>C$3 + 3</f>
        <v>43503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43502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5"/>
      <c r="J21" s="138"/>
      <c r="K21" s="141"/>
      <c r="M21" s="36">
        <f>C$3 + 3</f>
        <v>43503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43503</v>
      </c>
      <c r="C22" s="104">
        <v>16.2</v>
      </c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3">
        <f>SUM(C22:C26)</f>
        <v>65.2</v>
      </c>
      <c r="J22" s="136">
        <f>$V$6-I22</f>
        <v>19.799999999999997</v>
      </c>
      <c r="K22" s="139">
        <f>($V$6-I22)+K17</f>
        <v>4.75</v>
      </c>
      <c r="M22" s="36">
        <f>C$3 + 3</f>
        <v>43503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43503</v>
      </c>
      <c r="C23" s="35">
        <v>15.5</v>
      </c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4"/>
      <c r="J23" s="137"/>
      <c r="K23" s="140"/>
      <c r="M23" s="29">
        <f>C$3 + 3</f>
        <v>43503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43503</v>
      </c>
      <c r="C24" s="101">
        <v>18</v>
      </c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4"/>
      <c r="J24" s="137"/>
      <c r="K24" s="140"/>
      <c r="M24" s="43">
        <f>C$3 + 4</f>
        <v>43504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43503</v>
      </c>
      <c r="C25" s="35">
        <v>15.5</v>
      </c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4"/>
      <c r="J25" s="137"/>
      <c r="K25" s="140"/>
      <c r="M25" s="36">
        <f>C$3 + 4</f>
        <v>43504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43503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5"/>
      <c r="J26" s="138"/>
      <c r="K26" s="141"/>
      <c r="M26" s="36">
        <f>C$3 + 4</f>
        <v>43504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43504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3">
        <f>SUM(C27:C31)</f>
        <v>0</v>
      </c>
      <c r="J27" s="136">
        <f>$V$6-I27</f>
        <v>85</v>
      </c>
      <c r="K27" s="139">
        <f>($V$6-I27)+K22</f>
        <v>89.75</v>
      </c>
      <c r="M27" s="29">
        <f>C$3 + 4</f>
        <v>43504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43504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4"/>
      <c r="J28" s="137"/>
      <c r="K28" s="140"/>
      <c r="M28" s="43">
        <f>C$3 + 5</f>
        <v>43505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43504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4"/>
      <c r="J29" s="137"/>
      <c r="K29" s="140"/>
      <c r="M29" s="36">
        <f>C$3 + 5</f>
        <v>43505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43504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4"/>
      <c r="J30" s="137"/>
      <c r="K30" s="140"/>
      <c r="M30" s="36">
        <f>C$3 + 5</f>
        <v>43505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43504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5"/>
      <c r="J31" s="138"/>
      <c r="K31" s="141"/>
      <c r="M31" s="29">
        <f>C$3 + 5</f>
        <v>43505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43505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3">
        <f>SUM(C32:C36)</f>
        <v>0</v>
      </c>
      <c r="J32" s="136">
        <f>$V$6-I32</f>
        <v>85</v>
      </c>
      <c r="K32" s="139">
        <f>($V$6-I32)+K27</f>
        <v>174.75</v>
      </c>
      <c r="M32" s="43">
        <f>C$3 + 6</f>
        <v>43506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43505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4"/>
      <c r="J33" s="137"/>
      <c r="K33" s="140"/>
      <c r="M33" s="36">
        <f>C$3 + 6</f>
        <v>43506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43505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4"/>
      <c r="J34" s="137"/>
      <c r="K34" s="140"/>
      <c r="M34" s="36">
        <f>C$3 + 6</f>
        <v>43506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43505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4"/>
      <c r="J35" s="137"/>
      <c r="K35" s="140"/>
      <c r="M35" s="29">
        <f>C$3 + 6</f>
        <v>43506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43505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5"/>
      <c r="J36" s="138"/>
      <c r="K36" s="141"/>
      <c r="M36" s="43">
        <f>C$3 + 7</f>
        <v>43507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43506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3">
        <f>SUM(C37:C41)</f>
        <v>0</v>
      </c>
      <c r="J37" s="136">
        <f>$V$6-I37</f>
        <v>85</v>
      </c>
      <c r="K37" s="139">
        <f>($V$6-I37)+K32</f>
        <v>259.75</v>
      </c>
      <c r="M37" s="36">
        <f>C$3 + 7</f>
        <v>43507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43506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4"/>
      <c r="J38" s="137"/>
      <c r="K38" s="140"/>
      <c r="M38" s="36">
        <f>C$3 + 7</f>
        <v>43507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43506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4"/>
      <c r="J39" s="137"/>
      <c r="K39" s="140"/>
      <c r="M39" s="29">
        <f>C$3 + 7</f>
        <v>43507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43506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4"/>
      <c r="J40" s="137"/>
      <c r="K40" s="140"/>
      <c r="M40" s="43">
        <f>C$3 + 8</f>
        <v>43508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43506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5"/>
      <c r="J41" s="138"/>
      <c r="K41" s="141"/>
      <c r="M41" s="36">
        <f>C$3 + 8</f>
        <v>43508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43507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3">
        <f>SUM(C42:C46)</f>
        <v>0</v>
      </c>
      <c r="J42" s="136">
        <f>$V$6-I42</f>
        <v>85</v>
      </c>
      <c r="K42" s="139">
        <f>($V$6-I42)+K37</f>
        <v>344.75</v>
      </c>
      <c r="M42" s="36">
        <f>C$3 + 8</f>
        <v>43508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43507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4"/>
      <c r="J43" s="137"/>
      <c r="K43" s="140"/>
      <c r="M43" s="29">
        <f>C$3 + 8</f>
        <v>43508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43507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4"/>
      <c r="J44" s="137"/>
      <c r="K44" s="140"/>
      <c r="M44" s="43">
        <f>C$3 + 9</f>
        <v>43509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43507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4"/>
      <c r="J45" s="137"/>
      <c r="K45" s="140"/>
      <c r="M45" s="36">
        <f>C$3 + 9</f>
        <v>43509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43507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5"/>
      <c r="J46" s="138"/>
      <c r="K46" s="141"/>
      <c r="M46" s="36">
        <f>C$3 + 9</f>
        <v>43509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43508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3">
        <f>SUM(C47:C51)</f>
        <v>0</v>
      </c>
      <c r="J47" s="136">
        <f>$V$6-I47</f>
        <v>85</v>
      </c>
      <c r="K47" s="139">
        <f>($V$6-I47)+K42</f>
        <v>429.75</v>
      </c>
      <c r="M47" s="29">
        <f>C$3 + 9</f>
        <v>43509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43508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4"/>
      <c r="J48" s="137"/>
      <c r="K48" s="140"/>
      <c r="M48" s="77">
        <f>C$3 + 11</f>
        <v>43511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43508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4"/>
      <c r="J49" s="137"/>
      <c r="K49" s="140"/>
      <c r="S49" s="48" t="s">
        <v>43</v>
      </c>
      <c r="T49" s="22" t="s">
        <v>35</v>
      </c>
    </row>
    <row r="50" spans="2:20" x14ac:dyDescent="0.25">
      <c r="B50" s="36">
        <f>$C$3 + 8</f>
        <v>43508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4"/>
      <c r="J50" s="137"/>
      <c r="K50" s="140"/>
      <c r="S50" s="48" t="s">
        <v>43</v>
      </c>
      <c r="T50" s="22" t="s">
        <v>35</v>
      </c>
    </row>
    <row r="51" spans="2:20" ht="16.5" thickBot="1" x14ac:dyDescent="0.3">
      <c r="B51" s="29">
        <f>$C$3 + 8</f>
        <v>43508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5"/>
      <c r="J51" s="138"/>
      <c r="K51" s="141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16</xdr:row>
                    <xdr:rowOff>123825</xdr:rowOff>
                  </from>
                  <to>
                    <xdr:col>21</xdr:col>
                    <xdr:colOff>581025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19</xdr:row>
                    <xdr:rowOff>76200</xdr:rowOff>
                  </from>
                  <to>
                    <xdr:col>21</xdr:col>
                    <xdr:colOff>581025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22</xdr:row>
                    <xdr:rowOff>38100</xdr:rowOff>
                  </from>
                  <to>
                    <xdr:col>21</xdr:col>
                    <xdr:colOff>581025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132</v>
      </c>
      <c r="D22" s="18" t="s">
        <v>134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2019-02-07T17:57:01Z</dcterms:modified>
</cp:coreProperties>
</file>