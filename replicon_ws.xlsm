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07011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'070119'!$A$1:$W$52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F3" i="2" l="1"/>
  <c r="D2" i="54"/>
  <c r="M48" i="54" l="1"/>
  <c r="F3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V13" i="54"/>
  <c r="M12" i="54"/>
  <c r="B13" i="54"/>
  <c r="V12" i="54"/>
  <c r="M11" i="54"/>
  <c r="I12" i="54"/>
  <c r="B12" i="54"/>
  <c r="M10" i="54"/>
  <c r="B11" i="54"/>
  <c r="M9" i="54"/>
  <c r="B10" i="54"/>
  <c r="V9" i="54"/>
  <c r="M8" i="54"/>
  <c r="B9" i="54"/>
  <c r="B8" i="54"/>
  <c r="V7" i="54"/>
  <c r="M7" i="54"/>
  <c r="I7" i="54"/>
  <c r="K7" i="54" s="1"/>
  <c r="B7" i="54"/>
  <c r="V10" i="54" l="1"/>
  <c r="V15" i="54"/>
  <c r="K12" i="54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</calcChain>
</file>

<file path=xl/sharedStrings.xml><?xml version="1.0" encoding="utf-8"?>
<sst xmlns="http://schemas.openxmlformats.org/spreadsheetml/2006/main" count="649" uniqueCount="135">
  <si>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</si>
  <si>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</si>
  <si>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</si>
  <si>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</si>
  <si>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</si>
  <si>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</si>
  <si>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</si>
  <si>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</si>
  <si>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</si>
  <si>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</si>
  <si>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</si>
  <si>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</si>
  <si>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</si>
  <si>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</si>
  <si>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</si>
  <si>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</si>
  <si>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</si>
  <si>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</si>
  <si>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</si>
  <si>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</si>
  <si>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</si>
  <si>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</si>
  <si>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</si>
  <si>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</si>
  <si>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</si>
  <si>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</si>
  <si>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</si>
  <si>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</si>
  <si>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</si>
  <si>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</si>
  <si>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</si>
  <si>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</si>
  <si>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</si>
  <si>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</si>
  <si>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</si>
  <si>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</si>
  <si>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</si>
  <si>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</si>
  <si>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</si>
  <si>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</si>
  <si>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</si>
  <si>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</si>
  <si>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</si>
  <si>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</si>
  <si>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</si>
  <si>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</si>
  <si>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</si>
  <si>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</si>
  <si>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</si>
  <si>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</si>
  <si>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</si>
  <si>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</si>
  <si>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</si>
  <si>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</si>
  <si>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</si>
  <si>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</si>
  <si>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</si>
  <si>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</si>
  <si>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</si>
  <si>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</si>
  <si>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</si>
  <si>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</si>
  <si>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</si>
  <si>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</si>
  <si>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</si>
  <si>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</si>
  <si>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</si>
  <si>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</si>
  <si>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</si>
  <si>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</si>
  <si>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</si>
  <si>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</si>
  <si>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</si>
  <si>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</si>
  <si>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</si>
  <si>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</si>
  <si>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</si>
  <si>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</si>
  <si>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</si>
  <si>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</si>
  <si>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</si>
  <si>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</si>
  <si>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</si>
  <si>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</si>
  <si>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</si>
  <si>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</si>
  <si>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</si>
  <si>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</si>
  <si>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</si>
  <si>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</si>
  <si>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</si>
  <si>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</si>
  <si>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</si>
  <si>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</si>
  <si>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</si>
  <si>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</si>
  <si>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</si>
  <si>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</si>
  <si>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</si>
  <si>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</si>
  <si>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</si>
  <si>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</si>
  <si>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</si>
  <si>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</si>
  <si>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</si>
  <si>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</si>
  <si>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</si>
  <si>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</si>
  <si>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</si>
  <si>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</si>
  <si>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</si>
  <si>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</si>
  <si>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</si>
  <si>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</si>
  <si>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</si>
  <si>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</si>
  <si>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</si>
  <si>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</si>
  <si>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</si>
  <si>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</si>
  <si>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</si>
  <si>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</si>
  <si>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</si>
  <si>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</si>
  <si>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</si>
  <si>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</si>
  <si>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</si>
  <si>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</si>
  <si>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</si>
  <si>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Refeição (NF de R$ 99,00)</t>
  </si>
  <si>
    <t>D2</t>
  </si>
  <si>
    <t>Repl Return amount Cell</t>
  </si>
  <si>
    <t>Repl Total</t>
  </si>
  <si>
    <t>V16</t>
  </si>
  <si>
    <t>C:\Users\LOGIC\Dropbox\Trabalho\Replicon\123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</si>
</sst>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5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8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44" xfId="0" applyFont="1" applyBorder="1" applyAlignment="1">
      <alignment horizontal="center" shrinkToFit="1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16</xdr:row>
          <xdr:rowOff>123825</xdr:rowOff>
        </xdr:from>
        <xdr:to>
          <xdr:col>21</xdr:col>
          <xdr:colOff>571500</xdr:colOff>
          <xdr:row>18</xdr:row>
          <xdr:rowOff>180975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=""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19</xdr:row>
          <xdr:rowOff>76200</xdr:rowOff>
        </xdr:from>
        <xdr:to>
          <xdr:col>21</xdr:col>
          <xdr:colOff>571500</xdr:colOff>
          <xdr:row>21</xdr:row>
          <xdr:rowOff>142875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=""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22</xdr:row>
          <xdr:rowOff>38100</xdr:rowOff>
        </xdr:from>
        <xdr:to>
          <xdr:col>21</xdr:col>
          <xdr:colOff>571500</xdr:colOff>
          <xdr:row>24</xdr:row>
          <xdr:rowOff>95250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24</xdr:row>
          <xdr:rowOff>171450</xdr:rowOff>
        </xdr:from>
        <xdr:to>
          <xdr:col>20</xdr:col>
          <xdr:colOff>876300</xdr:colOff>
          <xdr:row>26</xdr:row>
          <xdr:rowOff>190500</xdr:rowOff>
        </xdr:to>
        <xdr:sp macro="" textlink="">
          <xdr:nvSpPr>
            <xdr:cNvPr id="134150" name="Button 6" hidden="1">
              <a:extLst>
                <a:ext uri="{63B3BB69-23CF-44E3-9099-C40C66FF867C}">
                  <a14:compatExt spid="_x0000_s13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981075</xdr:colOff>
          <xdr:row>24</xdr:row>
          <xdr:rowOff>161925</xdr:rowOff>
        </xdr:from>
        <xdr:to>
          <xdr:col>21</xdr:col>
          <xdr:colOff>552450</xdr:colOff>
          <xdr:row>26</xdr:row>
          <xdr:rowOff>190500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2"/>
  <sheetViews>
    <sheetView showGridLines="0" tabSelected="1" zoomScale="90" zoomScaleNormal="90" workbookViewId="0">
      <selection activeCell="P2" sqref="P2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3">
        <v>2076</v>
      </c>
      <c r="D2" s="92" t="str">
        <f>VLOOKUP(C2,Config!U1:V24,2,FALSE)</f>
        <v>Renner Backport</v>
      </c>
      <c r="F2" s="128" t="s">
        <v>1</v>
      </c>
      <c r="G2" s="128"/>
      <c r="H2" s="128"/>
      <c r="I2" s="128"/>
      <c r="J2" s="128"/>
      <c r="K2" s="128"/>
      <c r="L2" s="128"/>
      <c r="M2" s="128"/>
      <c r="N2" s="128"/>
      <c r="O2" s="95"/>
      <c r="Q2" s="107" t="s">
        <v>60</v>
      </c>
      <c r="R2" s="107" t="s">
        <v>23</v>
      </c>
      <c r="U2" s="128" t="s">
        <v>47</v>
      </c>
      <c r="V2" s="128"/>
      <c r="W2" s="94"/>
    </row>
    <row r="3" spans="1:23" x14ac:dyDescent="0.25">
      <c r="B3" s="93" t="s">
        <v>2</v>
      </c>
      <c r="C3" s="92">
        <v>43669</v>
      </c>
      <c r="D3" s="91"/>
      <c r="F3" s="129" t="str">
        <f>$C$2 &amp;" - "&amp;VLOOKUP(C2,Config!U1:V24,2,FALSE) &amp;" Expense Sheet - "&amp; Config!$D$4 &amp;" - " &amp;TEXT($C$3,"AAAAMMDD")&amp;" - " &amp;TEXT($C$3+V5-1,"AAAAMMDD")</f>
        <v>2076 - Renner Backport Expense Sheet - Thiago Weidman - 20190723 - 20190726</v>
      </c>
      <c r="G3" s="129"/>
      <c r="H3" s="129"/>
      <c r="I3" s="129"/>
      <c r="J3" s="129"/>
      <c r="K3" s="129"/>
      <c r="L3" s="129"/>
      <c r="M3" s="129"/>
      <c r="N3" s="129"/>
      <c r="O3" s="90"/>
      <c r="P3" s="89"/>
      <c r="Q3" s="88" t="s">
        <v>63</v>
      </c>
      <c r="R3" s="108"/>
      <c r="U3" s="130" t="s">
        <v>134</v>
      </c>
      <c r="V3" s="131"/>
      <c r="W3" s="87"/>
    </row>
    <row r="4" spans="1:23" x14ac:dyDescent="0.25">
      <c r="B4" s="84"/>
      <c r="C4" s="86"/>
      <c r="D4" s="86"/>
      <c r="E4" s="84"/>
      <c r="F4" s="132"/>
      <c r="G4" s="132"/>
      <c r="H4" s="132"/>
      <c r="I4" s="132"/>
      <c r="J4" s="132"/>
      <c r="K4" s="132"/>
      <c r="L4" s="132"/>
      <c r="M4" s="132"/>
      <c r="N4" s="132"/>
      <c r="O4" s="85"/>
      <c r="P4" s="84"/>
      <c r="Q4" s="84"/>
      <c r="R4" s="84"/>
      <c r="S4" s="84"/>
      <c r="T4" s="84"/>
      <c r="U4" s="84"/>
    </row>
    <row r="5" spans="1:23" x14ac:dyDescent="0.25">
      <c r="B5" s="126" t="s">
        <v>3</v>
      </c>
      <c r="C5" s="126"/>
      <c r="D5" s="126"/>
      <c r="E5" s="126"/>
      <c r="F5" s="126"/>
      <c r="G5" s="126"/>
      <c r="H5" s="126"/>
      <c r="I5" s="126"/>
      <c r="J5" s="126"/>
      <c r="K5" s="126"/>
      <c r="M5" s="127" t="s">
        <v>4</v>
      </c>
      <c r="N5" s="127"/>
      <c r="O5" s="127"/>
      <c r="P5" s="127"/>
      <c r="Q5" s="127"/>
      <c r="R5" s="127"/>
      <c r="S5" s="127"/>
      <c r="T5" s="83"/>
      <c r="U5" s="61" t="s">
        <v>5</v>
      </c>
      <c r="V5" s="82">
        <v>4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14</v>
      </c>
      <c r="V6" s="35">
        <v>85</v>
      </c>
    </row>
    <row r="7" spans="1:23" ht="16.5" thickBot="1" x14ac:dyDescent="0.3">
      <c r="B7" s="43">
        <f>$C$3</f>
        <v>43669</v>
      </c>
      <c r="C7" s="42"/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33">
        <f>SUM(C7:C11)</f>
        <v>0</v>
      </c>
      <c r="J7" s="136">
        <f>$V$6-I7</f>
        <v>85</v>
      </c>
      <c r="K7" s="139">
        <f>($V$6-I7)</f>
        <v>85</v>
      </c>
      <c r="M7" s="77">
        <f>C$3 + $V$5 -1</f>
        <v>43672</v>
      </c>
      <c r="N7" s="76"/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16</v>
      </c>
      <c r="V7" s="35">
        <f>V6*V5</f>
        <v>340</v>
      </c>
    </row>
    <row r="8" spans="1:23" x14ac:dyDescent="0.25">
      <c r="B8" s="52">
        <f>$C$3</f>
        <v>43669</v>
      </c>
      <c r="C8" s="105"/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34"/>
      <c r="J8" s="137"/>
      <c r="K8" s="140"/>
      <c r="M8" s="43">
        <f>C$3</f>
        <v>43669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</row>
    <row r="9" spans="1:23" x14ac:dyDescent="0.25">
      <c r="B9" s="52">
        <f>$C$3</f>
        <v>43669</v>
      </c>
      <c r="C9" s="70"/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34"/>
      <c r="J9" s="137"/>
      <c r="K9" s="140"/>
      <c r="M9" s="36">
        <f>C$3</f>
        <v>43669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U9" s="61" t="s">
        <v>17</v>
      </c>
      <c r="V9" s="35">
        <f>SUM(C7:C52)</f>
        <v>0</v>
      </c>
    </row>
    <row r="10" spans="1:23" x14ac:dyDescent="0.25">
      <c r="B10" s="52">
        <f>$C$3</f>
        <v>43669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34"/>
      <c r="J10" s="137"/>
      <c r="K10" s="140"/>
      <c r="M10" s="36">
        <f>C$3</f>
        <v>43669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12</v>
      </c>
      <c r="V10" s="35">
        <f>V7-V9</f>
        <v>340</v>
      </c>
    </row>
    <row r="11" spans="1:23" ht="16.5" thickBot="1" x14ac:dyDescent="0.3">
      <c r="B11" s="56">
        <f>$C$3</f>
        <v>43669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35"/>
      <c r="J11" s="138"/>
      <c r="K11" s="141"/>
      <c r="M11" s="29">
        <f>C$3</f>
        <v>43669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6"/>
      <c r="V11" s="65"/>
    </row>
    <row r="12" spans="1:23" x14ac:dyDescent="0.25">
      <c r="B12" s="43">
        <f>$C$3 +1</f>
        <v>43670</v>
      </c>
      <c r="C12" s="42"/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33">
        <f>SUM(C12:C16)</f>
        <v>0</v>
      </c>
      <c r="J12" s="136">
        <f>$V$6-I12</f>
        <v>85</v>
      </c>
      <c r="K12" s="139">
        <f>($V$6-I12)+K7</f>
        <v>170</v>
      </c>
      <c r="L12" s="62"/>
      <c r="M12" s="43">
        <f>C$3 + 1</f>
        <v>43670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1" t="s">
        <v>18</v>
      </c>
      <c r="V12" s="60">
        <f>SUM(N8:N48)</f>
        <v>0</v>
      </c>
    </row>
    <row r="13" spans="1:23" x14ac:dyDescent="0.25">
      <c r="B13" s="52">
        <f>$C$3 +1</f>
        <v>43670</v>
      </c>
      <c r="C13" s="35"/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34"/>
      <c r="J13" s="137"/>
      <c r="K13" s="140"/>
      <c r="L13" s="62"/>
      <c r="M13" s="36">
        <f>C$3 + 1</f>
        <v>43670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20</v>
      </c>
      <c r="V13" s="60">
        <f>SUM(N7)</f>
        <v>0</v>
      </c>
    </row>
    <row r="14" spans="1:23" x14ac:dyDescent="0.25">
      <c r="B14" s="52">
        <f>$C$3 +1</f>
        <v>43670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34"/>
      <c r="J14" s="137"/>
      <c r="K14" s="140"/>
      <c r="L14" s="62"/>
      <c r="M14" s="36">
        <f>C$3 + 1</f>
        <v>43670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V14" s="65"/>
    </row>
    <row r="15" spans="1:23" ht="16.5" thickBot="1" x14ac:dyDescent="0.3">
      <c r="B15" s="52">
        <f>$C$3 +1</f>
        <v>43670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34"/>
      <c r="J15" s="137"/>
      <c r="K15" s="140"/>
      <c r="L15" s="62"/>
      <c r="M15" s="29">
        <f>C$3 + 1</f>
        <v>43670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U15" s="61" t="s">
        <v>19</v>
      </c>
      <c r="V15" s="60">
        <f>V12+V9+V13</f>
        <v>0</v>
      </c>
    </row>
    <row r="16" spans="1:23" ht="16.5" thickBot="1" x14ac:dyDescent="0.3">
      <c r="B16" s="56">
        <f>$C$3 +1</f>
        <v>43670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35"/>
      <c r="J16" s="138"/>
      <c r="K16" s="141"/>
      <c r="M16" s="43">
        <f>C$3 + 2</f>
        <v>43671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132</v>
      </c>
      <c r="V16" s="60">
        <v>652.46</v>
      </c>
    </row>
    <row r="17" spans="2:22" x14ac:dyDescent="0.25">
      <c r="B17" s="43">
        <f>$C$3 +2</f>
        <v>43671</v>
      </c>
      <c r="C17" s="42"/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33">
        <f>SUM(C17:C21)</f>
        <v>0</v>
      </c>
      <c r="J17" s="136">
        <f>$V$6-I17</f>
        <v>85</v>
      </c>
      <c r="K17" s="139">
        <f>($V$6-I17)+K12</f>
        <v>255</v>
      </c>
      <c r="M17" s="36">
        <f>C$3 + 2</f>
        <v>43671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V17" s="59"/>
    </row>
    <row r="18" spans="2:22" x14ac:dyDescent="0.25">
      <c r="B18" s="52">
        <f>$C$3 +2</f>
        <v>43671</v>
      </c>
      <c r="C18" s="35"/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34"/>
      <c r="J18" s="137"/>
      <c r="K18" s="140"/>
      <c r="M18" s="36">
        <f>C$3 + 2</f>
        <v>43671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43671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34"/>
      <c r="J19" s="137"/>
      <c r="K19" s="140"/>
      <c r="M19" s="29">
        <f>C$3 + 2</f>
        <v>43671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43671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34"/>
      <c r="J20" s="137"/>
      <c r="K20" s="140"/>
      <c r="M20" s="43">
        <f>C$3 + 3</f>
        <v>43672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43671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35"/>
      <c r="J21" s="138"/>
      <c r="K21" s="141"/>
      <c r="M21" s="36">
        <f>C$3 + 3</f>
        <v>43672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43672</v>
      </c>
      <c r="C22" s="104"/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33">
        <f>SUM(C22:C26)</f>
        <v>0</v>
      </c>
      <c r="J22" s="136">
        <f>$V$6-I22</f>
        <v>85</v>
      </c>
      <c r="K22" s="139">
        <f>($V$6-I22)+K17</f>
        <v>340</v>
      </c>
      <c r="M22" s="36">
        <f>C$3 + 3</f>
        <v>43672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43672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34"/>
      <c r="J23" s="137"/>
      <c r="K23" s="140"/>
      <c r="M23" s="29">
        <f>C$3 + 3</f>
        <v>43672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43672</v>
      </c>
      <c r="C24" s="101"/>
      <c r="D24" s="34" t="s">
        <v>63</v>
      </c>
      <c r="E24" s="33" t="s">
        <v>32</v>
      </c>
      <c r="F24" s="32" t="s">
        <v>15</v>
      </c>
      <c r="G24" s="31" t="s">
        <v>15</v>
      </c>
      <c r="H24" s="30" t="s">
        <v>44</v>
      </c>
      <c r="I24" s="134"/>
      <c r="J24" s="137"/>
      <c r="K24" s="140"/>
      <c r="M24" s="43">
        <f>C$3 + 4</f>
        <v>43673</v>
      </c>
      <c r="N24" s="42"/>
      <c r="O24" s="55" t="s">
        <v>63</v>
      </c>
      <c r="P24" s="40" t="s">
        <v>24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43672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34"/>
      <c r="J25" s="137"/>
      <c r="K25" s="140"/>
      <c r="M25" s="36">
        <f>C$3 + 4</f>
        <v>43673</v>
      </c>
      <c r="N25" s="35"/>
      <c r="O25" s="51" t="s">
        <v>63</v>
      </c>
      <c r="P25" s="33" t="s">
        <v>24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43672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35"/>
      <c r="J26" s="138"/>
      <c r="K26" s="141"/>
      <c r="M26" s="36">
        <f>C$3 + 4</f>
        <v>43673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43673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33">
        <f>SUM(C27:C31)</f>
        <v>0</v>
      </c>
      <c r="J27" s="136">
        <f>$V$6-I27</f>
        <v>85</v>
      </c>
      <c r="K27" s="139">
        <f>($V$6-I27)+K22</f>
        <v>425</v>
      </c>
      <c r="M27" s="29">
        <f>C$3 + 4</f>
        <v>43673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43673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34"/>
      <c r="J28" s="137"/>
      <c r="K28" s="140"/>
      <c r="M28" s="43">
        <f>C$3 + 5</f>
        <v>43674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43673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34"/>
      <c r="J29" s="137"/>
      <c r="K29" s="140"/>
      <c r="M29" s="36">
        <f>C$3 + 5</f>
        <v>43674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43673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34"/>
      <c r="J30" s="137"/>
      <c r="K30" s="140"/>
      <c r="M30" s="36">
        <f>C$3 + 5</f>
        <v>43674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43673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35"/>
      <c r="J31" s="138"/>
      <c r="K31" s="141"/>
      <c r="M31" s="29">
        <f>C$3 + 5</f>
        <v>43674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43674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33">
        <f>SUM(C32:C36)</f>
        <v>0</v>
      </c>
      <c r="J32" s="136">
        <f>$V$6-I32</f>
        <v>85</v>
      </c>
      <c r="K32" s="139">
        <f>($V$6-I32)+K27</f>
        <v>510</v>
      </c>
      <c r="M32" s="43">
        <f>C$3 + 6</f>
        <v>43675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43674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34"/>
      <c r="J33" s="137"/>
      <c r="K33" s="140"/>
      <c r="M33" s="36">
        <f>C$3 + 6</f>
        <v>43675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43674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34"/>
      <c r="J34" s="137"/>
      <c r="K34" s="140"/>
      <c r="M34" s="36">
        <f>C$3 + 6</f>
        <v>43675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43674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34"/>
      <c r="J35" s="137"/>
      <c r="K35" s="140"/>
      <c r="M35" s="29">
        <f>C$3 + 6</f>
        <v>43675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43674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35"/>
      <c r="J36" s="138"/>
      <c r="K36" s="141"/>
      <c r="M36" s="43">
        <f>C$3 + 7</f>
        <v>43676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43675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33">
        <f>SUM(C37:C41)</f>
        <v>0</v>
      </c>
      <c r="J37" s="136">
        <f>$V$6-I37</f>
        <v>85</v>
      </c>
      <c r="K37" s="139">
        <f>($V$6-I37)+K32</f>
        <v>595</v>
      </c>
      <c r="M37" s="36">
        <f>C$3 + 7</f>
        <v>43676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43675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34"/>
      <c r="J38" s="137"/>
      <c r="K38" s="140"/>
      <c r="M38" s="36">
        <f>C$3 + 7</f>
        <v>43676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43675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34"/>
      <c r="J39" s="137"/>
      <c r="K39" s="140"/>
      <c r="M39" s="29">
        <f>C$3 + 7</f>
        <v>43676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43675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34"/>
      <c r="J40" s="137"/>
      <c r="K40" s="140"/>
      <c r="M40" s="43">
        <f>C$3 + 8</f>
        <v>43677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43675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35"/>
      <c r="J41" s="138"/>
      <c r="K41" s="141"/>
      <c r="M41" s="36">
        <f>C$3 + 8</f>
        <v>43677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43676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33">
        <f>SUM(C42:C46)</f>
        <v>0</v>
      </c>
      <c r="J42" s="136">
        <f>$V$6-I42</f>
        <v>85</v>
      </c>
      <c r="K42" s="139">
        <f>($V$6-I42)+K37</f>
        <v>680</v>
      </c>
      <c r="M42" s="36">
        <f>C$3 + 8</f>
        <v>43677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43676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34"/>
      <c r="J43" s="137"/>
      <c r="K43" s="140"/>
      <c r="M43" s="29">
        <f>C$3 + 8</f>
        <v>43677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43676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34"/>
      <c r="J44" s="137"/>
      <c r="K44" s="140"/>
      <c r="M44" s="43">
        <f>C$3 + 9</f>
        <v>43678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43676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34"/>
      <c r="J45" s="137"/>
      <c r="K45" s="140"/>
      <c r="M45" s="36">
        <f>C$3 + 9</f>
        <v>43678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43676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35"/>
      <c r="J46" s="138"/>
      <c r="K46" s="141"/>
      <c r="M46" s="36">
        <f>C$3 + 9</f>
        <v>43678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43677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33">
        <f>SUM(C47:C51)</f>
        <v>0</v>
      </c>
      <c r="J47" s="136">
        <f>$V$6-I47</f>
        <v>85</v>
      </c>
      <c r="K47" s="139">
        <f>($V$6-I47)+K42</f>
        <v>765</v>
      </c>
      <c r="M47" s="29">
        <f>C$3 + 9</f>
        <v>43678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43677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34"/>
      <c r="J48" s="137"/>
      <c r="K48" s="140"/>
      <c r="M48" s="77">
        <f>C$3 + 11</f>
        <v>43680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43677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34"/>
      <c r="J49" s="137"/>
      <c r="K49" s="140"/>
      <c r="S49" s="48" t="s">
        <v>43</v>
      </c>
      <c r="T49" s="22" t="s">
        <v>35</v>
      </c>
    </row>
    <row r="50" spans="2:20" x14ac:dyDescent="0.25">
      <c r="B50" s="36">
        <f>$C$3 + 8</f>
        <v>43677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34"/>
      <c r="J50" s="137"/>
      <c r="K50" s="140"/>
      <c r="S50" s="48" t="s">
        <v>43</v>
      </c>
      <c r="T50" s="22" t="s">
        <v>35</v>
      </c>
    </row>
    <row r="51" spans="2:20" ht="16.5" thickBot="1" x14ac:dyDescent="0.3">
      <c r="B51" s="29">
        <f>$C$3 + 8</f>
        <v>43677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35"/>
      <c r="J51" s="138"/>
      <c r="K51" s="141"/>
      <c r="S51" s="44" t="s">
        <v>43</v>
      </c>
      <c r="T51" s="22" t="s">
        <v>35</v>
      </c>
    </row>
    <row r="52" spans="2:20" ht="16.5" thickBot="1" x14ac:dyDescent="0.3">
      <c r="B52" s="86"/>
      <c r="C52" s="117"/>
      <c r="D52" s="118"/>
      <c r="E52" s="84"/>
      <c r="F52" s="119"/>
      <c r="G52" s="119"/>
      <c r="H52" s="120"/>
      <c r="I52" s="121"/>
      <c r="J52" s="121"/>
      <c r="K52" s="122"/>
      <c r="S52" s="71" t="s">
        <v>46</v>
      </c>
      <c r="T52" s="22" t="s">
        <v>35</v>
      </c>
    </row>
  </sheetData>
  <mergeCells count="34"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  <mergeCell ref="I27:I31"/>
    <mergeCell ref="J27:J31"/>
    <mergeCell ref="K27:K31"/>
    <mergeCell ref="I32:I36"/>
    <mergeCell ref="J32:J36"/>
    <mergeCell ref="K32:K36"/>
    <mergeCell ref="I17:I21"/>
    <mergeCell ref="J17:J21"/>
    <mergeCell ref="K17:K21"/>
    <mergeCell ref="I22:I26"/>
    <mergeCell ref="J22:J26"/>
    <mergeCell ref="K22:K26"/>
    <mergeCell ref="I7:I11"/>
    <mergeCell ref="J7:J11"/>
    <mergeCell ref="K7:K11"/>
    <mergeCell ref="I12:I16"/>
    <mergeCell ref="J12:J16"/>
    <mergeCell ref="K12:K16"/>
    <mergeCell ref="B5:K5"/>
    <mergeCell ref="M5:S5"/>
    <mergeCell ref="F2:N2"/>
    <mergeCell ref="U2:V2"/>
    <mergeCell ref="F3:N3"/>
    <mergeCell ref="U3:V3"/>
    <mergeCell ref="F4:N4"/>
  </mergeCells>
  <conditionalFormatting sqref="R3">
    <cfRule type="cellIs" dxfId="7" priority="6" operator="greaterThan">
      <formula>0</formula>
    </cfRule>
  </conditionalFormatting>
  <conditionalFormatting sqref="M7:S47 M48:R48">
    <cfRule type="expression" dxfId="6" priority="8">
      <formula>$M7&gt;$C$3+$V$5-1</formula>
    </cfRule>
  </conditionalFormatting>
  <conditionalFormatting sqref="F4 P3">
    <cfRule type="cellIs" dxfId="5" priority="4" operator="greaterThan">
      <formula>0</formula>
    </cfRule>
  </conditionalFormatting>
  <conditionalFormatting sqref="B7:K51">
    <cfRule type="expression" dxfId="4" priority="9">
      <formula>$B7&gt;$C$3+$V$5-1</formula>
    </cfRule>
  </conditionalFormatting>
  <conditionalFormatting sqref="J7:J51 V10">
    <cfRule type="cellIs" dxfId="3" priority="3" operator="lessThan">
      <formula>0</formula>
    </cfRule>
  </conditionalFormatting>
  <conditionalFormatting sqref="S52">
    <cfRule type="expression" dxfId="2" priority="12">
      <formula>$M48&gt;$C$3+$V$5-1</formula>
    </cfRule>
  </conditionalFormatting>
  <conditionalFormatting sqref="S48:S51">
    <cfRule type="expression" dxfId="1" priority="13">
      <formula>#REF!&gt;$C$3+$V$5-1</formula>
    </cfRule>
  </conditionalFormatting>
  <conditionalFormatting sqref="V16">
    <cfRule type="cellIs" dxfId="0" priority="1" operator="notEqual">
      <formula>$V$15</formula>
    </cfRule>
  </conditionalFormatting>
  <dataValidations disablePrompts="1"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266700</xdr:colOff>
                    <xdr:row>16</xdr:row>
                    <xdr:rowOff>123825</xdr:rowOff>
                  </from>
                  <to>
                    <xdr:col>21</xdr:col>
                    <xdr:colOff>571500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266700</xdr:colOff>
                    <xdr:row>19</xdr:row>
                    <xdr:rowOff>76200</xdr:rowOff>
                  </from>
                  <to>
                    <xdr:col>21</xdr:col>
                    <xdr:colOff>571500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257175</xdr:colOff>
                    <xdr:row>22</xdr:row>
                    <xdr:rowOff>38100</xdr:rowOff>
                  </from>
                  <to>
                    <xdr:col>21</xdr:col>
                    <xdr:colOff>571500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0" r:id="rId7" name="Button 6">
              <controlPr defaultSize="0" print="0" autoFill="0" autoPict="0" macro="[0]!CallScan">
                <anchor moveWithCells="1" sizeWithCells="1">
                  <from>
                    <xdr:col>20</xdr:col>
                    <xdr:colOff>257175</xdr:colOff>
                    <xdr:row>24</xdr:row>
                    <xdr:rowOff>171450</xdr:rowOff>
                  </from>
                  <to>
                    <xdr:col>20</xdr:col>
                    <xdr:colOff>876300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8" name="Button 7">
              <controlPr defaultSize="0" print="0" autoFill="0" autoPict="0" macro="[0]!CallClean">
                <anchor moveWithCells="1" sizeWithCells="1">
                  <from>
                    <xdr:col>20</xdr:col>
                    <xdr:colOff>981075</xdr:colOff>
                    <xdr:row>24</xdr:row>
                    <xdr:rowOff>161925</xdr:rowOff>
                  </from>
                  <to>
                    <xdr:col>21</xdr:col>
                    <xdr:colOff>552450</xdr:colOff>
                    <xdr:row>26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topLeftCell="A7" zoomScale="90" zoomScaleNormal="90" workbookViewId="0">
      <selection activeCell="E22" sqref="E22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123"/>
      <c r="P1" s="13" t="s">
        <v>33</v>
      </c>
      <c r="Q1" s="8" t="s">
        <v>61</v>
      </c>
      <c r="S1" s="96" t="s">
        <v>95</v>
      </c>
      <c r="T1" t="s">
        <v>35</v>
      </c>
      <c r="U1" s="111" t="s">
        <v>117</v>
      </c>
      <c r="V1" s="112" t="s">
        <v>118</v>
      </c>
    </row>
    <row r="2" spans="1:22" ht="16.5" thickBot="1" x14ac:dyDescent="0.3">
      <c r="B2" s="97" t="s">
        <v>28</v>
      </c>
      <c r="C2" s="98" t="s">
        <v>29</v>
      </c>
      <c r="D2" s="4" t="s">
        <v>21</v>
      </c>
      <c r="F2" s="144" t="s">
        <v>40</v>
      </c>
      <c r="G2" s="145"/>
      <c r="H2" s="145"/>
      <c r="I2" s="145"/>
      <c r="J2" s="145"/>
      <c r="K2" s="145"/>
      <c r="L2" s="146"/>
      <c r="P2" s="14" t="s">
        <v>48</v>
      </c>
      <c r="Q2" s="1" t="s">
        <v>62</v>
      </c>
      <c r="S2" s="1" t="s">
        <v>22</v>
      </c>
      <c r="T2" t="s">
        <v>35</v>
      </c>
      <c r="U2" s="114">
        <v>2076</v>
      </c>
      <c r="V2" s="5" t="s">
        <v>120</v>
      </c>
    </row>
    <row r="3" spans="1:22" ht="16.5" thickBot="1" x14ac:dyDescent="0.3">
      <c r="B3" s="142" t="s">
        <v>1</v>
      </c>
      <c r="C3" s="99"/>
      <c r="D3" s="5"/>
      <c r="F3" s="148" t="str">
        <f>2058 &amp;" - "&amp; "Renner Expense Sheet" &amp;" - "&amp; D4 &amp;" - " &amp;TEXT($A$1,"AAAAMMDD")&amp;" - " &amp;TEXT($A$2,"AAAAMMDD")</f>
        <v>2058 - Renner Expense Sheet - Thiago Weidman - 19000100 - 19000100</v>
      </c>
      <c r="G3" s="149"/>
      <c r="H3" s="149"/>
      <c r="I3" s="149"/>
      <c r="J3" s="149"/>
      <c r="K3" s="149"/>
      <c r="L3" s="150"/>
      <c r="P3" s="15" t="s">
        <v>49</v>
      </c>
      <c r="Q3" s="2" t="s">
        <v>63</v>
      </c>
      <c r="S3" s="2" t="s">
        <v>32</v>
      </c>
      <c r="T3" t="s">
        <v>35</v>
      </c>
      <c r="U3" s="115">
        <v>2070</v>
      </c>
      <c r="V3" s="11" t="s">
        <v>121</v>
      </c>
    </row>
    <row r="4" spans="1:22" ht="16.5" thickBot="1" x14ac:dyDescent="0.3">
      <c r="B4" s="147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5">
        <v>2000</v>
      </c>
      <c r="V4" s="11" t="s">
        <v>119</v>
      </c>
    </row>
    <row r="5" spans="1:22" x14ac:dyDescent="0.25">
      <c r="B5" s="162" t="s">
        <v>41</v>
      </c>
      <c r="C5" s="6" t="s">
        <v>36</v>
      </c>
      <c r="D5" s="5" t="s">
        <v>124</v>
      </c>
      <c r="P5" s="15" t="s">
        <v>51</v>
      </c>
      <c r="Q5" s="2" t="s">
        <v>65</v>
      </c>
      <c r="S5" s="2" t="s">
        <v>129</v>
      </c>
      <c r="T5" t="s">
        <v>35</v>
      </c>
      <c r="U5" s="115">
        <v>2089</v>
      </c>
      <c r="V5" s="11" t="s">
        <v>122</v>
      </c>
    </row>
    <row r="6" spans="1:22" ht="16.5" thickBot="1" x14ac:dyDescent="0.3">
      <c r="B6" s="163"/>
      <c r="C6" s="9" t="s">
        <v>37</v>
      </c>
      <c r="D6" s="11" t="s">
        <v>127</v>
      </c>
      <c r="P6" s="15" t="s">
        <v>52</v>
      </c>
      <c r="Q6" s="2" t="s">
        <v>66</v>
      </c>
      <c r="S6" s="2" t="s">
        <v>97</v>
      </c>
      <c r="T6" t="s">
        <v>35</v>
      </c>
      <c r="U6" s="115">
        <v>2099</v>
      </c>
      <c r="V6" s="11" t="s">
        <v>123</v>
      </c>
    </row>
    <row r="7" spans="1:22" x14ac:dyDescent="0.25">
      <c r="B7" s="163"/>
      <c r="C7" s="9" t="s">
        <v>38</v>
      </c>
      <c r="D7" s="11" t="s">
        <v>86</v>
      </c>
      <c r="G7" s="153" t="s">
        <v>70</v>
      </c>
      <c r="H7" s="154"/>
      <c r="I7" s="154"/>
      <c r="J7" s="154"/>
      <c r="K7" s="155"/>
      <c r="P7" s="15" t="s">
        <v>53</v>
      </c>
      <c r="Q7" s="2" t="s">
        <v>67</v>
      </c>
      <c r="S7" s="2" t="s">
        <v>112</v>
      </c>
      <c r="T7" t="s">
        <v>35</v>
      </c>
      <c r="U7" s="115">
        <v>2101</v>
      </c>
      <c r="V7" s="11" t="s">
        <v>128</v>
      </c>
    </row>
    <row r="8" spans="1:22" x14ac:dyDescent="0.25">
      <c r="B8" s="163"/>
      <c r="C8" s="9" t="s">
        <v>39</v>
      </c>
      <c r="D8" s="11" t="s">
        <v>126</v>
      </c>
      <c r="G8" s="156"/>
      <c r="H8" s="157"/>
      <c r="I8" s="157"/>
      <c r="J8" s="157"/>
      <c r="K8" s="158"/>
      <c r="P8" s="15" t="s">
        <v>42</v>
      </c>
      <c r="Q8" s="2"/>
      <c r="S8" s="2" t="s">
        <v>113</v>
      </c>
      <c r="T8" t="s">
        <v>35</v>
      </c>
      <c r="U8" s="115"/>
      <c r="V8" s="11"/>
    </row>
    <row r="9" spans="1:22" x14ac:dyDescent="0.25">
      <c r="B9" s="163"/>
      <c r="C9" s="9" t="s">
        <v>59</v>
      </c>
      <c r="D9" s="11" t="s">
        <v>90</v>
      </c>
      <c r="G9" s="156"/>
      <c r="H9" s="157"/>
      <c r="I9" s="157"/>
      <c r="J9" s="157"/>
      <c r="K9" s="158"/>
      <c r="P9" s="15" t="s">
        <v>43</v>
      </c>
      <c r="Q9" s="2"/>
      <c r="S9" s="2"/>
      <c r="T9" t="s">
        <v>35</v>
      </c>
      <c r="U9" s="115"/>
      <c r="V9" s="11"/>
    </row>
    <row r="10" spans="1:22" x14ac:dyDescent="0.25">
      <c r="B10" s="163"/>
      <c r="C10" s="9" t="s">
        <v>68</v>
      </c>
      <c r="D10" s="19" t="s">
        <v>89</v>
      </c>
      <c r="G10" s="156"/>
      <c r="H10" s="157"/>
      <c r="I10" s="157"/>
      <c r="J10" s="157"/>
      <c r="K10" s="158"/>
      <c r="P10" s="15" t="s">
        <v>44</v>
      </c>
      <c r="Q10" s="2"/>
      <c r="S10" s="2"/>
      <c r="T10" t="s">
        <v>35</v>
      </c>
      <c r="U10" s="115"/>
      <c r="V10" s="11"/>
    </row>
    <row r="11" spans="1:22" x14ac:dyDescent="0.25">
      <c r="B11" s="163"/>
      <c r="C11" s="9" t="s">
        <v>78</v>
      </c>
      <c r="D11" s="102" t="s">
        <v>114</v>
      </c>
      <c r="G11" s="156"/>
      <c r="H11" s="157"/>
      <c r="I11" s="157"/>
      <c r="J11" s="157"/>
      <c r="K11" s="158"/>
      <c r="P11" s="15" t="s">
        <v>54</v>
      </c>
      <c r="Q11" s="2"/>
      <c r="S11" s="2"/>
      <c r="T11" t="s">
        <v>35</v>
      </c>
      <c r="U11" s="115"/>
      <c r="V11" s="11"/>
    </row>
    <row r="12" spans="1:22" ht="16.5" thickBot="1" x14ac:dyDescent="0.3">
      <c r="B12" s="163"/>
      <c r="C12" s="9" t="s">
        <v>87</v>
      </c>
      <c r="D12" s="19" t="s">
        <v>88</v>
      </c>
      <c r="G12" s="159"/>
      <c r="H12" s="160"/>
      <c r="I12" s="160"/>
      <c r="J12" s="160"/>
      <c r="K12" s="161"/>
      <c r="P12" s="15" t="s">
        <v>45</v>
      </c>
      <c r="Q12" s="2"/>
      <c r="S12" s="2"/>
      <c r="T12" t="s">
        <v>35</v>
      </c>
      <c r="U12" s="115"/>
      <c r="V12" s="11"/>
    </row>
    <row r="13" spans="1:22" ht="15.75" customHeight="1" x14ac:dyDescent="0.25">
      <c r="B13" s="163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5"/>
      <c r="V13" s="11"/>
    </row>
    <row r="14" spans="1:22" ht="15.75" customHeight="1" x14ac:dyDescent="0.25">
      <c r="B14" s="163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5"/>
      <c r="V14" s="11"/>
    </row>
    <row r="15" spans="1:22" ht="15.75" customHeight="1" x14ac:dyDescent="0.25">
      <c r="B15" s="163"/>
      <c r="C15" s="9" t="s">
        <v>102</v>
      </c>
      <c r="D15" s="102" t="s">
        <v>111</v>
      </c>
      <c r="P15" s="15" t="s">
        <v>56</v>
      </c>
      <c r="Q15" s="2"/>
      <c r="S15" s="2"/>
      <c r="T15" t="s">
        <v>35</v>
      </c>
      <c r="U15" s="115"/>
      <c r="V15" s="11"/>
    </row>
    <row r="16" spans="1:22" ht="15.75" customHeight="1" x14ac:dyDescent="0.25">
      <c r="B16" s="163"/>
      <c r="C16" s="9" t="s">
        <v>103</v>
      </c>
      <c r="D16" s="102" t="s">
        <v>115</v>
      </c>
      <c r="P16" s="15" t="s">
        <v>57</v>
      </c>
      <c r="Q16" s="2"/>
      <c r="S16" s="2"/>
      <c r="T16" t="s">
        <v>35</v>
      </c>
      <c r="U16" s="115"/>
      <c r="V16" s="11"/>
    </row>
    <row r="17" spans="2:22" ht="15.75" customHeight="1" x14ac:dyDescent="0.25">
      <c r="B17" s="163"/>
      <c r="C17" s="9" t="s">
        <v>104</v>
      </c>
      <c r="D17" s="19" t="s">
        <v>106</v>
      </c>
      <c r="P17" s="15" t="s">
        <v>58</v>
      </c>
      <c r="Q17" s="2"/>
      <c r="S17" s="2"/>
      <c r="T17" t="s">
        <v>35</v>
      </c>
      <c r="U17" s="115"/>
      <c r="V17" s="11"/>
    </row>
    <row r="18" spans="2:22" ht="15.75" customHeight="1" x14ac:dyDescent="0.25">
      <c r="B18" s="163"/>
      <c r="C18" s="9" t="s">
        <v>105</v>
      </c>
      <c r="D18" s="19" t="s">
        <v>130</v>
      </c>
      <c r="P18" s="15"/>
      <c r="Q18" s="2"/>
      <c r="S18" s="2"/>
      <c r="T18" t="s">
        <v>35</v>
      </c>
      <c r="U18" s="115"/>
      <c r="V18" s="11"/>
    </row>
    <row r="19" spans="2:22" ht="15.75" customHeight="1" x14ac:dyDescent="0.25">
      <c r="B19" s="163"/>
      <c r="C19" s="9" t="s">
        <v>109</v>
      </c>
      <c r="D19" s="19" t="s">
        <v>110</v>
      </c>
      <c r="P19" s="15"/>
      <c r="Q19" s="2"/>
      <c r="S19" s="2"/>
      <c r="T19" t="s">
        <v>35</v>
      </c>
      <c r="U19" s="115"/>
      <c r="V19" s="11"/>
    </row>
    <row r="20" spans="2:22" ht="15.75" customHeight="1" x14ac:dyDescent="0.25">
      <c r="B20" s="163"/>
      <c r="C20" s="9" t="s">
        <v>116</v>
      </c>
      <c r="D20" s="19" t="s">
        <v>125</v>
      </c>
      <c r="P20" s="15"/>
      <c r="Q20" s="2"/>
      <c r="S20" s="2"/>
      <c r="T20" t="s">
        <v>35</v>
      </c>
      <c r="U20" s="115"/>
      <c r="V20" s="11"/>
    </row>
    <row r="21" spans="2:22" x14ac:dyDescent="0.25">
      <c r="B21" s="163"/>
      <c r="C21" s="9" t="s">
        <v>107</v>
      </c>
      <c r="D21" s="19" t="s">
        <v>108</v>
      </c>
      <c r="P21" s="15"/>
      <c r="Q21" s="2"/>
      <c r="S21" s="2"/>
      <c r="T21" t="s">
        <v>35</v>
      </c>
      <c r="U21" s="115"/>
      <c r="V21" s="11"/>
    </row>
    <row r="22" spans="2:22" ht="16.5" thickBot="1" x14ac:dyDescent="0.3">
      <c r="B22" s="164"/>
      <c r="C22" s="7" t="s">
        <v>131</v>
      </c>
      <c r="D22" s="18" t="s">
        <v>133</v>
      </c>
      <c r="P22" s="15"/>
      <c r="Q22" s="2"/>
      <c r="S22" s="2"/>
      <c r="T22" t="s">
        <v>35</v>
      </c>
      <c r="U22" s="115"/>
      <c r="V22" s="11"/>
    </row>
    <row r="23" spans="2:22" ht="15.75" customHeight="1" x14ac:dyDescent="0.25">
      <c r="B23" s="151" t="s">
        <v>69</v>
      </c>
      <c r="C23" s="124" t="s">
        <v>71</v>
      </c>
      <c r="D23" s="125" t="s">
        <v>79</v>
      </c>
      <c r="P23" s="15"/>
      <c r="Q23" s="2"/>
      <c r="S23" s="2"/>
      <c r="T23" t="s">
        <v>35</v>
      </c>
      <c r="U23" s="115"/>
      <c r="V23" s="11"/>
    </row>
    <row r="24" spans="2:22" ht="16.5" thickBot="1" x14ac:dyDescent="0.3">
      <c r="B24" s="151"/>
      <c r="C24" s="9" t="s">
        <v>72</v>
      </c>
      <c r="D24" s="20" t="s">
        <v>80</v>
      </c>
      <c r="P24" s="16"/>
      <c r="Q24" s="3"/>
      <c r="S24" s="3"/>
      <c r="T24" t="s">
        <v>35</v>
      </c>
      <c r="U24" s="116"/>
      <c r="V24" s="110"/>
    </row>
    <row r="25" spans="2:22" x14ac:dyDescent="0.25">
      <c r="B25" s="151"/>
      <c r="C25" s="9" t="s">
        <v>76</v>
      </c>
      <c r="D25" s="20" t="s">
        <v>81</v>
      </c>
      <c r="Q25" s="17"/>
    </row>
    <row r="26" spans="2:22" x14ac:dyDescent="0.25">
      <c r="B26" s="151"/>
      <c r="C26" s="9" t="s">
        <v>73</v>
      </c>
      <c r="D26" s="20" t="s">
        <v>82</v>
      </c>
      <c r="Q26" s="17"/>
    </row>
    <row r="27" spans="2:22" x14ac:dyDescent="0.25">
      <c r="B27" s="151"/>
      <c r="C27" s="9" t="s">
        <v>74</v>
      </c>
      <c r="D27" s="20" t="s">
        <v>83</v>
      </c>
      <c r="Q27" s="17"/>
    </row>
    <row r="28" spans="2:22" x14ac:dyDescent="0.25">
      <c r="B28" s="151"/>
      <c r="C28" s="9" t="s">
        <v>77</v>
      </c>
      <c r="D28" s="20" t="s">
        <v>84</v>
      </c>
      <c r="Q28" s="17"/>
    </row>
    <row r="29" spans="2:22" ht="16.5" thickBot="1" x14ac:dyDescent="0.3">
      <c r="B29" s="152"/>
      <c r="C29" s="7" t="s">
        <v>75</v>
      </c>
      <c r="D29" s="21" t="s">
        <v>85</v>
      </c>
      <c r="Q29" s="17"/>
    </row>
    <row r="30" spans="2:22" ht="16.5" thickBot="1" x14ac:dyDescent="0.3">
      <c r="Q30" s="17"/>
    </row>
    <row r="31" spans="2:22" x14ac:dyDescent="0.25">
      <c r="B31" s="142" t="s">
        <v>98</v>
      </c>
      <c r="C31" s="99" t="s">
        <v>99</v>
      </c>
      <c r="D31" s="5" t="s">
        <v>100</v>
      </c>
      <c r="Q31" s="17"/>
    </row>
    <row r="32" spans="2:22" ht="16.5" thickBot="1" x14ac:dyDescent="0.3">
      <c r="B32" s="143"/>
      <c r="C32" s="109" t="s">
        <v>101</v>
      </c>
      <c r="D32" s="110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070119</vt:lpstr>
      <vt:lpstr>Config</vt:lpstr>
      <vt:lpstr>currencies</vt:lpstr>
      <vt:lpstr>expense_codes</vt:lpstr>
      <vt:lpstr>MEALS</vt:lpstr>
      <vt:lpstr>'070119'!Print_Area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2019-08-16T18:04:21Z</cp:lastPrinted>
  <dcterms:created xsi:type="dcterms:W3CDTF">2015-01-25T11:31:25Z</dcterms:created>
  <dcterms:modified xsi:type="dcterms:W3CDTF">2019-08-20T10:58:11Z</dcterms:modified>
</cp:coreProperties>
</file>