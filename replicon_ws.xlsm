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thi\replicon\"/>
    </mc:Choice>
  </mc:AlternateContent>
  <bookViews>
    <workbookView xWindow="1335" yWindow="-20325" windowWidth="19155" windowHeight="12585" tabRatio="500" xr2:uid="{00000000-000D-0000-FFFF-FFFF00000000}"/>
  </bookViews>
  <sheets>
    <sheet name="20170921" sheetId="23" r:id="rId1"/>
    <sheet name="20170912" sheetId="22" r:id="rId2"/>
    <sheet name="20170904" sheetId="21" r:id="rId3"/>
    <sheet name="Config" sheetId="2" r:id="rId4"/>
  </sheets>
  <functionGroups builtInGroupCount="18"/>
  <definedNames>
    <definedName name="currencies">Config!$Q$2:$Q$17</definedName>
    <definedName name="expense_codes">Config!$P$2:$P$50</definedName>
  </definedNames>
  <calcPr calcId="171027"/>
</workbook>
</file>

<file path=xl/calcChain.xml><?xml version="1.0" encoding="utf-8"?>
<calcChain xmlns="http://schemas.openxmlformats.org/spreadsheetml/2006/main">
  <c r="B66" i="23" l="1"/>
  <c r="B65" i="23"/>
  <c r="B64" i="23"/>
  <c r="B63" i="23"/>
  <c r="I62" i="23"/>
  <c r="B62" i="23"/>
  <c r="B61" i="23"/>
  <c r="B60" i="23"/>
  <c r="B59" i="23"/>
  <c r="B58" i="23"/>
  <c r="J57" i="23"/>
  <c r="I57" i="23"/>
  <c r="B57" i="23"/>
  <c r="M56" i="23"/>
  <c r="B56" i="23"/>
  <c r="M55" i="23"/>
  <c r="B55" i="23"/>
  <c r="M54" i="23"/>
  <c r="B54" i="23"/>
  <c r="M53" i="23"/>
  <c r="B53" i="23"/>
  <c r="M52" i="23"/>
  <c r="I52" i="23"/>
  <c r="J52" i="23" s="1"/>
  <c r="B52" i="23"/>
  <c r="M51" i="23"/>
  <c r="B51" i="23"/>
  <c r="M50" i="23"/>
  <c r="B50" i="23"/>
  <c r="M49" i="23"/>
  <c r="B49" i="23"/>
  <c r="M48" i="23"/>
  <c r="B48" i="23"/>
  <c r="M47" i="23"/>
  <c r="I47" i="23"/>
  <c r="B47" i="23"/>
  <c r="M46" i="23"/>
  <c r="B46" i="23"/>
  <c r="M45" i="23"/>
  <c r="B45" i="23"/>
  <c r="M44" i="23"/>
  <c r="B44" i="23"/>
  <c r="M43" i="23"/>
  <c r="B43" i="23"/>
  <c r="M42" i="23"/>
  <c r="I42" i="23"/>
  <c r="J42" i="23" s="1"/>
  <c r="B42" i="23"/>
  <c r="M41" i="23"/>
  <c r="B41" i="23"/>
  <c r="M40" i="23"/>
  <c r="B40" i="23"/>
  <c r="M39" i="23"/>
  <c r="B39" i="23"/>
  <c r="M38" i="23"/>
  <c r="B38" i="23"/>
  <c r="M37" i="23"/>
  <c r="J37" i="23"/>
  <c r="I37" i="23"/>
  <c r="B37" i="23"/>
  <c r="M36" i="23"/>
  <c r="B36" i="23"/>
  <c r="M35" i="23"/>
  <c r="B35" i="23"/>
  <c r="M34" i="23"/>
  <c r="B34" i="23"/>
  <c r="M33" i="23"/>
  <c r="B33" i="23"/>
  <c r="M32" i="23"/>
  <c r="J32" i="23"/>
  <c r="I32" i="23"/>
  <c r="B32" i="23"/>
  <c r="M31" i="23"/>
  <c r="B31" i="23"/>
  <c r="M30" i="23"/>
  <c r="B30" i="23"/>
  <c r="M29" i="23"/>
  <c r="B29" i="23"/>
  <c r="M28" i="23"/>
  <c r="B28" i="23"/>
  <c r="M27" i="23"/>
  <c r="I27" i="23"/>
  <c r="B27" i="23"/>
  <c r="M26" i="23"/>
  <c r="B26" i="23"/>
  <c r="M25" i="23"/>
  <c r="B25" i="23"/>
  <c r="M24" i="23"/>
  <c r="B24" i="23"/>
  <c r="M23" i="23"/>
  <c r="B23" i="23"/>
  <c r="M22" i="23"/>
  <c r="I22" i="23"/>
  <c r="J22" i="23" s="1"/>
  <c r="B22" i="23"/>
  <c r="M21" i="23"/>
  <c r="B21" i="23"/>
  <c r="M20" i="23"/>
  <c r="B20" i="23"/>
  <c r="M19" i="23"/>
  <c r="B19" i="23"/>
  <c r="M18" i="23"/>
  <c r="B18" i="23"/>
  <c r="M17" i="23"/>
  <c r="J17" i="23"/>
  <c r="I17" i="23"/>
  <c r="B17" i="23"/>
  <c r="M16" i="23"/>
  <c r="B16" i="23"/>
  <c r="M15" i="23"/>
  <c r="B15" i="23"/>
  <c r="M14" i="23"/>
  <c r="B14" i="23"/>
  <c r="V13" i="23"/>
  <c r="M13" i="23"/>
  <c r="B13" i="23"/>
  <c r="V12" i="23"/>
  <c r="V15" i="23" s="1"/>
  <c r="M12" i="23"/>
  <c r="J12" i="23"/>
  <c r="I12" i="23"/>
  <c r="B12" i="23"/>
  <c r="M11" i="23"/>
  <c r="B11" i="23"/>
  <c r="M10" i="23"/>
  <c r="B10" i="23"/>
  <c r="V9" i="23"/>
  <c r="M9" i="23"/>
  <c r="B9" i="23"/>
  <c r="M8" i="23"/>
  <c r="B8" i="23"/>
  <c r="V7" i="23"/>
  <c r="V10" i="23" s="1"/>
  <c r="M7" i="23"/>
  <c r="J7" i="23"/>
  <c r="I7" i="23"/>
  <c r="K7" i="23" s="1"/>
  <c r="B7" i="23"/>
  <c r="F3" i="23"/>
  <c r="K12" i="23" l="1"/>
  <c r="K17" i="23" s="1"/>
  <c r="K22" i="23" s="1"/>
  <c r="K27" i="23" s="1"/>
  <c r="K32" i="23" s="1"/>
  <c r="K37" i="23" s="1"/>
  <c r="K42" i="23" s="1"/>
  <c r="K47" i="23" s="1"/>
  <c r="K52" i="23" s="1"/>
  <c r="K57" i="23" s="1"/>
  <c r="K62" i="23" s="1"/>
  <c r="J27" i="23"/>
  <c r="J47" i="23"/>
  <c r="J62" i="23"/>
  <c r="B66" i="22"/>
  <c r="B65" i="22"/>
  <c r="B64" i="22"/>
  <c r="B63" i="22"/>
  <c r="H62" i="22"/>
  <c r="B62" i="22"/>
  <c r="B61" i="22"/>
  <c r="B60" i="22"/>
  <c r="B59" i="22"/>
  <c r="B58" i="22"/>
  <c r="H57" i="22"/>
  <c r="B57" i="22"/>
  <c r="L56" i="22"/>
  <c r="B56" i="22"/>
  <c r="L55" i="22"/>
  <c r="B55" i="22"/>
  <c r="L54" i="22"/>
  <c r="B54" i="22"/>
  <c r="L53" i="22"/>
  <c r="B53" i="22"/>
  <c r="L52" i="22"/>
  <c r="I52" i="22"/>
  <c r="H52" i="22"/>
  <c r="B52" i="22"/>
  <c r="L51" i="22"/>
  <c r="B51" i="22"/>
  <c r="L50" i="22"/>
  <c r="B50" i="22"/>
  <c r="L49" i="22"/>
  <c r="B49" i="22"/>
  <c r="L48" i="22"/>
  <c r="B48" i="22"/>
  <c r="L47" i="22"/>
  <c r="I47" i="22"/>
  <c r="H47" i="22"/>
  <c r="B47" i="22"/>
  <c r="L46" i="22"/>
  <c r="B46" i="22"/>
  <c r="L45" i="22"/>
  <c r="B45" i="22"/>
  <c r="L44" i="22"/>
  <c r="B44" i="22"/>
  <c r="L43" i="22"/>
  <c r="B43" i="22"/>
  <c r="L42" i="22"/>
  <c r="H42" i="22"/>
  <c r="I42" i="22" s="1"/>
  <c r="B42" i="22"/>
  <c r="L41" i="22"/>
  <c r="B41" i="22"/>
  <c r="L40" i="22"/>
  <c r="B40" i="22"/>
  <c r="L39" i="22"/>
  <c r="B39" i="22"/>
  <c r="L38" i="22"/>
  <c r="B38" i="22"/>
  <c r="L37" i="22"/>
  <c r="H37" i="22"/>
  <c r="B37" i="22"/>
  <c r="L36" i="22"/>
  <c r="B36" i="22"/>
  <c r="L35" i="22"/>
  <c r="B35" i="22"/>
  <c r="L34" i="22"/>
  <c r="B34" i="22"/>
  <c r="L33" i="22"/>
  <c r="B33" i="22"/>
  <c r="L32" i="22"/>
  <c r="I32" i="22"/>
  <c r="H32" i="22"/>
  <c r="B32" i="22"/>
  <c r="L31" i="22"/>
  <c r="B31" i="22"/>
  <c r="L30" i="22"/>
  <c r="B30" i="22"/>
  <c r="L29" i="22"/>
  <c r="B29" i="22"/>
  <c r="L28" i="22"/>
  <c r="B28" i="22"/>
  <c r="L27" i="22"/>
  <c r="I27" i="22"/>
  <c r="H27" i="22"/>
  <c r="B27" i="22"/>
  <c r="L26" i="22"/>
  <c r="B26" i="22"/>
  <c r="L25" i="22"/>
  <c r="B25" i="22"/>
  <c r="L24" i="22"/>
  <c r="B24" i="22"/>
  <c r="L23" i="22"/>
  <c r="B23" i="22"/>
  <c r="L22" i="22"/>
  <c r="H22" i="22"/>
  <c r="I22" i="22" s="1"/>
  <c r="B22" i="22"/>
  <c r="L21" i="22"/>
  <c r="B21" i="22"/>
  <c r="L20" i="22"/>
  <c r="B20" i="22"/>
  <c r="L19" i="22"/>
  <c r="B19" i="22"/>
  <c r="L18" i="22"/>
  <c r="B18" i="22"/>
  <c r="L17" i="22"/>
  <c r="H17" i="22"/>
  <c r="B17" i="22"/>
  <c r="L16" i="22"/>
  <c r="B16" i="22"/>
  <c r="L15" i="22"/>
  <c r="B15" i="22"/>
  <c r="L14" i="22"/>
  <c r="B14" i="22"/>
  <c r="T13" i="22"/>
  <c r="L13" i="22"/>
  <c r="B13" i="22"/>
  <c r="T12" i="22"/>
  <c r="L12" i="22"/>
  <c r="H12" i="22"/>
  <c r="B12" i="22"/>
  <c r="L11" i="22"/>
  <c r="B11" i="22"/>
  <c r="L10" i="22"/>
  <c r="B10" i="22"/>
  <c r="T9" i="22"/>
  <c r="L9" i="22"/>
  <c r="B9" i="22"/>
  <c r="L8" i="22"/>
  <c r="B8" i="22"/>
  <c r="T7" i="22"/>
  <c r="L7" i="22"/>
  <c r="H7" i="22"/>
  <c r="J7" i="22" s="1"/>
  <c r="B7" i="22"/>
  <c r="E3" i="22"/>
  <c r="J12" i="22" l="1"/>
  <c r="J17" i="22" s="1"/>
  <c r="J22" i="22" s="1"/>
  <c r="J27" i="22" s="1"/>
  <c r="J32" i="22" s="1"/>
  <c r="J37" i="22" s="1"/>
  <c r="J42" i="22" s="1"/>
  <c r="J47" i="22" s="1"/>
  <c r="J52" i="22" s="1"/>
  <c r="J57" i="22" s="1"/>
  <c r="J62" i="22" s="1"/>
  <c r="T10" i="22"/>
  <c r="T15" i="22"/>
  <c r="I7" i="22"/>
  <c r="I12" i="22"/>
  <c r="I17" i="22"/>
  <c r="I37" i="22"/>
  <c r="I57" i="22"/>
  <c r="I62" i="22"/>
  <c r="B66" i="21"/>
  <c r="B65" i="21"/>
  <c r="B64" i="21"/>
  <c r="B63" i="21"/>
  <c r="H62" i="21"/>
  <c r="B62" i="21"/>
  <c r="B61" i="21"/>
  <c r="B60" i="21"/>
  <c r="B59" i="21"/>
  <c r="B58" i="21"/>
  <c r="H57" i="21"/>
  <c r="B57" i="21"/>
  <c r="L56" i="21"/>
  <c r="B56" i="21"/>
  <c r="L55" i="21"/>
  <c r="B55" i="21"/>
  <c r="L54" i="21"/>
  <c r="B54" i="21"/>
  <c r="L53" i="21"/>
  <c r="B53" i="21"/>
  <c r="L52" i="21"/>
  <c r="H52" i="21"/>
  <c r="B52" i="21"/>
  <c r="L51" i="21"/>
  <c r="B51" i="21"/>
  <c r="L50" i="21"/>
  <c r="B50" i="21"/>
  <c r="L49" i="21"/>
  <c r="B49" i="21"/>
  <c r="L48" i="21"/>
  <c r="B48" i="21"/>
  <c r="L47" i="21"/>
  <c r="I47" i="21"/>
  <c r="H47" i="21"/>
  <c r="B47" i="21"/>
  <c r="L46" i="21"/>
  <c r="B46" i="21"/>
  <c r="L45" i="21"/>
  <c r="B45" i="21"/>
  <c r="L44" i="21"/>
  <c r="B44" i="21"/>
  <c r="L43" i="21"/>
  <c r="B43" i="21"/>
  <c r="L42" i="21"/>
  <c r="H42" i="21"/>
  <c r="I42" i="21" s="1"/>
  <c r="B42" i="21"/>
  <c r="L41" i="21"/>
  <c r="B41" i="21"/>
  <c r="L40" i="21"/>
  <c r="B40" i="21"/>
  <c r="L39" i="21"/>
  <c r="B39" i="21"/>
  <c r="L38" i="21"/>
  <c r="B38" i="21"/>
  <c r="L37" i="21"/>
  <c r="H37" i="21"/>
  <c r="B37" i="21"/>
  <c r="L36" i="21"/>
  <c r="B36" i="21"/>
  <c r="L35" i="21"/>
  <c r="B35" i="21"/>
  <c r="L34" i="21"/>
  <c r="B34" i="21"/>
  <c r="L33" i="21"/>
  <c r="B33" i="21"/>
  <c r="L32" i="21"/>
  <c r="H32" i="21"/>
  <c r="B32" i="21"/>
  <c r="L31" i="21"/>
  <c r="B31" i="21"/>
  <c r="L30" i="21"/>
  <c r="B30" i="21"/>
  <c r="L29" i="21"/>
  <c r="B29" i="21"/>
  <c r="L28" i="21"/>
  <c r="B28" i="21"/>
  <c r="L27" i="21"/>
  <c r="H27" i="21"/>
  <c r="I27" i="21" s="1"/>
  <c r="B27" i="21"/>
  <c r="L26" i="21"/>
  <c r="B26" i="21"/>
  <c r="L25" i="21"/>
  <c r="B25" i="21"/>
  <c r="L24" i="21"/>
  <c r="B24" i="21"/>
  <c r="L23" i="21"/>
  <c r="B23" i="21"/>
  <c r="L22" i="21"/>
  <c r="H22" i="21"/>
  <c r="I22" i="21" s="1"/>
  <c r="B22" i="21"/>
  <c r="L21" i="21"/>
  <c r="B21" i="21"/>
  <c r="L20" i="21"/>
  <c r="B20" i="21"/>
  <c r="L19" i="21"/>
  <c r="B19" i="21"/>
  <c r="L18" i="21"/>
  <c r="B18" i="21"/>
  <c r="L17" i="21"/>
  <c r="H17" i="21"/>
  <c r="B17" i="21"/>
  <c r="L16" i="21"/>
  <c r="B16" i="21"/>
  <c r="L15" i="21"/>
  <c r="B15" i="21"/>
  <c r="L14" i="21"/>
  <c r="B14" i="21"/>
  <c r="T13" i="21"/>
  <c r="L13" i="21"/>
  <c r="B13" i="21"/>
  <c r="T12" i="21"/>
  <c r="L12" i="21"/>
  <c r="H12" i="21"/>
  <c r="B12" i="21"/>
  <c r="L11" i="21"/>
  <c r="B11" i="21"/>
  <c r="L10" i="21"/>
  <c r="B10" i="21"/>
  <c r="T9" i="21"/>
  <c r="L9" i="21"/>
  <c r="B9" i="21"/>
  <c r="L8" i="21"/>
  <c r="B8" i="21"/>
  <c r="T7" i="21"/>
  <c r="L7" i="21"/>
  <c r="H7" i="21"/>
  <c r="J7" i="21" s="1"/>
  <c r="B7" i="21"/>
  <c r="E3" i="21"/>
  <c r="T15" i="21" l="1"/>
  <c r="T10" i="21"/>
  <c r="J12" i="21"/>
  <c r="J17" i="21" s="1"/>
  <c r="J22" i="21" s="1"/>
  <c r="J27" i="21" s="1"/>
  <c r="J32" i="21" s="1"/>
  <c r="J37" i="21" s="1"/>
  <c r="J42" i="21" s="1"/>
  <c r="J47" i="21" s="1"/>
  <c r="J52" i="21" s="1"/>
  <c r="J57" i="21" s="1"/>
  <c r="J62" i="21" s="1"/>
  <c r="I32" i="21"/>
  <c r="I52" i="21"/>
  <c r="I7" i="21"/>
  <c r="I12" i="21"/>
  <c r="I17" i="21"/>
  <c r="I37" i="21"/>
  <c r="I57" i="21"/>
  <c r="I62" i="21"/>
  <c r="F3" i="2" l="1"/>
</calcChain>
</file>

<file path=xl/sharedStrings.xml><?xml version="1.0" encoding="utf-8"?>
<sst xmlns="http://schemas.openxmlformats.org/spreadsheetml/2006/main" count="1753" uniqueCount="105">
  <si>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</si>
  <si>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</si>
  <si>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</si>
  <si>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</si>
  <si>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</si>
  <si>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</si>
  <si>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</si>
  <si>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</si>
  <si>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</si>
  <si>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</si>
  <si>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</si>
  <si>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</si>
  <si>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</si>
  <si>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</si>
  <si>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</si>
  <si>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</si>
  <si>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</si>
  <si>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</si>
  <si>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</si>
  <si>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</si>
  <si>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</si>
  <si>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</si>
  <si>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</si>
  <si>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</si>
  <si>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</si>
  <si>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</si>
  <si>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</si>
  <si>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</si>
  <si>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</si>
  <si>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</si>
  <si>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Client Info</t>
  </si>
  <si>
    <t>User Name</t>
  </si>
  <si>
    <t>Thiago Weidman</t>
  </si>
  <si>
    <t>2070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</si>
  <si>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</si>
  <si>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</si>
  <si>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</si>
  <si>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</si>
  <si>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</si>
  <si>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</si>
  <si>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</si>
  <si>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</si>
  <si>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</si>
  <si>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YouCom Expense Sheet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</si>
  <si>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</si>
  <si>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</si>
  <si>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</si>
  <si>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</si>
  <si>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</si>
  <si>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</si>
  <si>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</si>
  <si>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C:\Users\LOGIC\Dropbox\Trabalho\Replicon\bbb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</si>
  <si>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</si>
  <si>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</si>
  <si>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</si>
  <si>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</si>
  <si>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</si>
  <si>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</si>
  <si>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</si>
  <si>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</si>
  <si>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</si>
  <si>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</si>
  <si>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</si>
  <si>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</si>
  <si>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</si>
  <si>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</si>
  <si>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</si>
  <si>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</si>
  <si>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</si>
  <si>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</si>
  <si>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</si>
  <si>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</si>
  <si>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</si>
  <si>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C:\Users\LOGIC\Dropbox\Trabalho\Replicon\aaa</t>
  </si>
  <si>
    <t>64534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</si>
  <si>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</si>
  <si>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</si>
  <si>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</si>
  <si>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</si>
  <si>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</si>
  <si>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</si>
  <si>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</si>
  <si>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</si>
  <si>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</si>
  <si>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</si>
  <si>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C16:D22</t>
  </si>
  <si>
    <t>0</t>
  </si>
  <si>
    <t>1</t>
  </si>
  <si>
    <t>2</t>
  </si>
  <si>
    <t>3</t>
  </si>
  <si>
    <t>4</t>
  </si>
  <si>
    <t>5</t>
  </si>
  <si>
    <t>6</t>
  </si>
  <si>
    <t>B7:H66</t>
  </si>
  <si>
    <t>M9:S56</t>
  </si>
  <si>
    <t>M7:S7</t>
  </si>
  <si>
    <t>M8:S8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</si>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</sst>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-&quot;R$&quot;\ * #,##0.00_-;\-&quot;R$&quot;\ * #,##0.00_-;_-&quot;R$&quot;\ * &quot;-&quot;??_-;_-@_-"/>
  </numFmts>
  <fonts count="1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240">
    <xf numFmtId="0" fontId="0" fillId="0" borderId="0" xfId="0"/>
    <xf numFmtId="0" fontId="8" fillId="2" borderId="1" xfId="0" applyFont="1" applyFill="1" applyBorder="1"/>
    <xf numFmtId="0" fontId="0" fillId="0" borderId="1" xfId="0" applyBorder="1"/>
    <xf numFmtId="14" fontId="0" fillId="0" borderId="1" xfId="0" applyNumberFormat="1" applyBorder="1"/>
    <xf numFmtId="0" fontId="0" fillId="0" borderId="0" xfId="0" applyFill="1" applyBorder="1"/>
    <xf numFmtId="14" fontId="0" fillId="0" borderId="0" xfId="0" applyNumberFormat="1" applyFill="1" applyBorder="1"/>
    <xf numFmtId="0" fontId="8" fillId="5" borderId="1" xfId="0" applyFont="1" applyFill="1" applyBorder="1" applyAlignment="1">
      <alignment horizontal="center"/>
    </xf>
    <xf numFmtId="44" fontId="6" fillId="0" borderId="1" xfId="1" applyFont="1" applyBorder="1"/>
    <xf numFmtId="0" fontId="0" fillId="0" borderId="2" xfId="0" applyBorder="1" applyAlignment="1" applyProtection="1">
      <alignment horizontal="center"/>
      <protection locked="0"/>
    </xf>
    <xf numFmtId="44" fontId="6" fillId="0" borderId="0" xfId="1" applyFont="1"/>
    <xf numFmtId="164" fontId="0" fillId="0" borderId="0" xfId="0" applyNumberFormat="1"/>
    <xf numFmtId="0" fontId="8" fillId="4" borderId="4" xfId="0" applyFont="1" applyFill="1" applyBorder="1" applyAlignment="1">
      <alignment horizontal="center"/>
    </xf>
    <xf numFmtId="14" fontId="0" fillId="0" borderId="5" xfId="0" applyNumberFormat="1" applyBorder="1"/>
    <xf numFmtId="0" fontId="0" fillId="0" borderId="6" xfId="0" applyBorder="1" applyAlignment="1" applyProtection="1">
      <alignment horizontal="center"/>
      <protection locked="0"/>
    </xf>
    <xf numFmtId="14" fontId="0" fillId="0" borderId="8" xfId="0" applyNumberFormat="1" applyBorder="1"/>
    <xf numFmtId="14" fontId="0" fillId="0" borderId="10" xfId="0" applyNumberFormat="1" applyBorder="1"/>
    <xf numFmtId="0" fontId="0" fillId="0" borderId="12" xfId="0" applyBorder="1" applyAlignment="1" applyProtection="1">
      <alignment horizontal="center"/>
      <protection locked="0"/>
    </xf>
    <xf numFmtId="0" fontId="8" fillId="3" borderId="4" xfId="0" applyFont="1" applyFill="1" applyBorder="1" applyAlignment="1">
      <alignment horizontal="center"/>
    </xf>
    <xf numFmtId="44" fontId="8" fillId="3" borderId="4" xfId="1" applyFont="1" applyFill="1" applyBorder="1" applyAlignment="1">
      <alignment horizontal="center"/>
    </xf>
    <xf numFmtId="14" fontId="0" fillId="0" borderId="17" xfId="0" applyNumberFormat="1" applyBorder="1"/>
    <xf numFmtId="44" fontId="6" fillId="0" borderId="19" xfId="1" applyFont="1" applyBorder="1"/>
    <xf numFmtId="44" fontId="6" fillId="0" borderId="20" xfId="1" applyFont="1" applyBorder="1"/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6" fillId="0" borderId="18" xfId="1" applyFont="1" applyBorder="1"/>
    <xf numFmtId="0" fontId="0" fillId="0" borderId="29" xfId="0" applyBorder="1"/>
    <xf numFmtId="0" fontId="0" fillId="0" borderId="7" xfId="0" applyBorder="1"/>
    <xf numFmtId="0" fontId="8" fillId="2" borderId="6" xfId="0" applyFont="1" applyFill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14" fontId="0" fillId="0" borderId="27" xfId="0" applyNumberFormat="1" applyBorder="1"/>
    <xf numFmtId="164" fontId="5" fillId="0" borderId="1" xfId="0" applyNumberFormat="1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14" fontId="0" fillId="0" borderId="33" xfId="0" applyNumberFormat="1" applyBorder="1"/>
    <xf numFmtId="44" fontId="3" fillId="0" borderId="19" xfId="1" applyFont="1" applyBorder="1"/>
    <xf numFmtId="44" fontId="3" fillId="0" borderId="20" xfId="1" applyFont="1" applyBorder="1"/>
    <xf numFmtId="44" fontId="3" fillId="0" borderId="18" xfId="1" applyFont="1" applyBorder="1"/>
    <xf numFmtId="8" fontId="3" fillId="0" borderId="19" xfId="1" applyNumberFormat="1" applyFont="1" applyBorder="1"/>
    <xf numFmtId="44" fontId="3" fillId="0" borderId="20" xfId="1" quotePrefix="1" applyFont="1" applyBorder="1"/>
    <xf numFmtId="44" fontId="3" fillId="0" borderId="19" xfId="1" quotePrefix="1" applyFont="1" applyBorder="1"/>
    <xf numFmtId="49" fontId="0" fillId="6" borderId="1" xfId="0" quotePrefix="1" applyNumberForma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 vertical="center"/>
    </xf>
    <xf numFmtId="0" fontId="0" fillId="0" borderId="7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29" xfId="0" applyBorder="1" applyAlignment="1" applyProtection="1">
      <protection locked="0"/>
    </xf>
    <xf numFmtId="0" fontId="0" fillId="0" borderId="3" xfId="0" applyBorder="1"/>
    <xf numFmtId="44" fontId="3" fillId="0" borderId="1" xfId="1" applyFont="1" applyBorder="1"/>
    <xf numFmtId="0" fontId="7" fillId="0" borderId="1" xfId="0" applyFont="1" applyBorder="1"/>
    <xf numFmtId="0" fontId="0" fillId="0" borderId="1" xfId="0" applyBorder="1" applyAlignment="1" applyProtection="1">
      <alignment horizontal="center"/>
      <protection locked="0"/>
    </xf>
    <xf numFmtId="44" fontId="3" fillId="0" borderId="6" xfId="1" applyFont="1" applyBorder="1"/>
    <xf numFmtId="0" fontId="7" fillId="0" borderId="6" xfId="0" applyFont="1" applyBorder="1"/>
    <xf numFmtId="44" fontId="6" fillId="0" borderId="11" xfId="1" applyFont="1" applyBorder="1"/>
    <xf numFmtId="0" fontId="0" fillId="0" borderId="11" xfId="0" applyBorder="1"/>
    <xf numFmtId="0" fontId="0" fillId="0" borderId="11" xfId="0" applyBorder="1" applyAlignment="1" applyProtection="1">
      <alignment horizontal="center"/>
      <protection locked="0"/>
    </xf>
    <xf numFmtId="44" fontId="3" fillId="0" borderId="11" xfId="1" applyFont="1" applyBorder="1"/>
    <xf numFmtId="0" fontId="7" fillId="0" borderId="11" xfId="0" applyFont="1" applyBorder="1"/>
    <xf numFmtId="44" fontId="6" fillId="0" borderId="2" xfId="1" applyFont="1" applyBorder="1"/>
    <xf numFmtId="0" fontId="0" fillId="0" borderId="2" xfId="0" applyBorder="1"/>
    <xf numFmtId="44" fontId="6" fillId="0" borderId="6" xfId="1" applyFont="1" applyBorder="1"/>
    <xf numFmtId="0" fontId="0" fillId="0" borderId="6" xfId="0" applyBorder="1"/>
    <xf numFmtId="44" fontId="4" fillId="0" borderId="6" xfId="1" applyFont="1" applyBorder="1"/>
    <xf numFmtId="0" fontId="0" fillId="0" borderId="37" xfId="0" applyBorder="1" applyAlignment="1" applyProtection="1">
      <protection locked="0"/>
    </xf>
    <xf numFmtId="0" fontId="0" fillId="0" borderId="31" xfId="0" applyBorder="1" applyAlignment="1" applyProtection="1">
      <protection locked="0"/>
    </xf>
    <xf numFmtId="44" fontId="6" fillId="0" borderId="28" xfId="1" applyFont="1" applyBorder="1"/>
    <xf numFmtId="0" fontId="0" fillId="0" borderId="28" xfId="0" applyBorder="1"/>
    <xf numFmtId="0" fontId="0" fillId="0" borderId="28" xfId="0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right"/>
    </xf>
    <xf numFmtId="0" fontId="0" fillId="0" borderId="38" xfId="0" applyBorder="1"/>
    <xf numFmtId="0" fontId="0" fillId="0" borderId="37" xfId="0" applyBorder="1"/>
    <xf numFmtId="0" fontId="0" fillId="7" borderId="0" xfId="0" applyFill="1"/>
    <xf numFmtId="0" fontId="0" fillId="0" borderId="18" xfId="0" applyBorder="1" applyAlignment="1" applyProtection="1">
      <alignment horizontal="left"/>
      <protection locked="0"/>
    </xf>
    <xf numFmtId="0" fontId="0" fillId="0" borderId="43" xfId="0" applyBorder="1" applyAlignment="1" applyProtection="1">
      <alignment horizontal="left"/>
      <protection locked="0"/>
    </xf>
    <xf numFmtId="0" fontId="0" fillId="0" borderId="44" xfId="0" applyBorder="1" applyAlignment="1" applyProtection="1">
      <alignment horizontal="left"/>
      <protection locked="0"/>
    </xf>
    <xf numFmtId="0" fontId="8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4" fontId="2" fillId="0" borderId="6" xfId="1" applyFont="1" applyBorder="1"/>
    <xf numFmtId="0" fontId="9" fillId="0" borderId="0" xfId="0" applyFont="1"/>
    <xf numFmtId="0" fontId="10" fillId="2" borderId="1" xfId="0" applyFont="1" applyFill="1" applyBorder="1"/>
    <xf numFmtId="49" fontId="9" fillId="6" borderId="1" xfId="0" quotePrefix="1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10" fillId="0" borderId="0" xfId="0" applyFont="1" applyFill="1" applyBorder="1" applyAlignment="1"/>
    <xf numFmtId="14" fontId="9" fillId="0" borderId="1" xfId="0" applyNumberFormat="1" applyFont="1" applyBorder="1"/>
    <xf numFmtId="0" fontId="9" fillId="0" borderId="0" xfId="0" applyFont="1" applyAlignment="1">
      <alignment shrinkToFit="1"/>
    </xf>
    <xf numFmtId="0" fontId="9" fillId="0" borderId="0" xfId="0" applyFont="1" applyFill="1" applyBorder="1" applyAlignment="1"/>
    <xf numFmtId="0" fontId="9" fillId="0" borderId="0" xfId="0" applyFont="1" applyFill="1" applyBorder="1"/>
    <xf numFmtId="14" fontId="9" fillId="0" borderId="0" xfId="0" applyNumberFormat="1" applyFont="1" applyFill="1" applyBorder="1"/>
    <xf numFmtId="0" fontId="9" fillId="0" borderId="3" xfId="0" applyFont="1" applyBorder="1"/>
    <xf numFmtId="0" fontId="10" fillId="5" borderId="1" xfId="0" applyFont="1" applyFill="1" applyBorder="1" applyAlignment="1">
      <alignment horizontal="center"/>
    </xf>
    <xf numFmtId="0" fontId="9" fillId="0" borderId="1" xfId="0" applyFont="1" applyBorder="1"/>
    <xf numFmtId="0" fontId="10" fillId="3" borderId="4" xfId="0" applyFont="1" applyFill="1" applyBorder="1" applyAlignment="1">
      <alignment horizontal="center"/>
    </xf>
    <xf numFmtId="44" fontId="10" fillId="3" borderId="4" xfId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44" fontId="11" fillId="0" borderId="1" xfId="1" applyFont="1" applyBorder="1"/>
    <xf numFmtId="14" fontId="9" fillId="0" borderId="5" xfId="0" applyNumberFormat="1" applyFont="1" applyBorder="1"/>
    <xf numFmtId="44" fontId="11" fillId="0" borderId="18" xfId="1" applyFont="1" applyBorder="1"/>
    <xf numFmtId="0" fontId="9" fillId="0" borderId="24" xfId="0" applyFont="1" applyBorder="1"/>
    <xf numFmtId="0" fontId="9" fillId="0" borderId="21" xfId="0" applyFont="1" applyBorder="1" applyAlignment="1" applyProtection="1">
      <alignment horizontal="center"/>
      <protection locked="0"/>
    </xf>
    <xf numFmtId="0" fontId="9" fillId="0" borderId="6" xfId="0" applyFont="1" applyBorder="1" applyAlignment="1" applyProtection="1">
      <alignment horizontal="center"/>
      <protection locked="0"/>
    </xf>
    <xf numFmtId="0" fontId="9" fillId="0" borderId="18" xfId="0" applyFont="1" applyBorder="1" applyAlignment="1" applyProtection="1">
      <alignment horizontal="left"/>
      <protection locked="0"/>
    </xf>
    <xf numFmtId="14" fontId="9" fillId="0" borderId="27" xfId="0" applyNumberFormat="1" applyFont="1" applyBorder="1"/>
    <xf numFmtId="44" fontId="11" fillId="0" borderId="28" xfId="1" applyFont="1" applyBorder="1"/>
    <xf numFmtId="0" fontId="9" fillId="0" borderId="28" xfId="0" applyFont="1" applyBorder="1"/>
    <xf numFmtId="0" fontId="9" fillId="0" borderId="28" xfId="0" applyFont="1" applyBorder="1" applyAlignment="1" applyProtection="1">
      <alignment horizontal="center"/>
      <protection locked="0"/>
    </xf>
    <xf numFmtId="0" fontId="9" fillId="0" borderId="29" xfId="0" applyFont="1" applyBorder="1" applyAlignment="1" applyProtection="1">
      <protection locked="0"/>
    </xf>
    <xf numFmtId="14" fontId="9" fillId="0" borderId="8" xfId="0" applyNumberFormat="1" applyFont="1" applyBorder="1"/>
    <xf numFmtId="8" fontId="11" fillId="0" borderId="19" xfId="1" applyNumberFormat="1" applyFont="1" applyBorder="1"/>
    <xf numFmtId="0" fontId="9" fillId="0" borderId="25" xfId="0" applyFont="1" applyBorder="1"/>
    <xf numFmtId="0" fontId="9" fillId="0" borderId="22" xfId="0" applyFont="1" applyBorder="1" applyAlignment="1" applyProtection="1">
      <alignment horizontal="center"/>
      <protection locked="0"/>
    </xf>
    <xf numFmtId="0" fontId="9" fillId="0" borderId="2" xfId="0" applyFont="1" applyBorder="1" applyAlignment="1" applyProtection="1">
      <alignment horizontal="center"/>
      <protection locked="0"/>
    </xf>
    <xf numFmtId="0" fontId="9" fillId="0" borderId="43" xfId="0" applyFont="1" applyBorder="1" applyAlignment="1" applyProtection="1">
      <alignment horizontal="left"/>
      <protection locked="0"/>
    </xf>
    <xf numFmtId="44" fontId="11" fillId="0" borderId="6" xfId="1" applyFont="1" applyBorder="1"/>
    <xf numFmtId="0" fontId="9" fillId="0" borderId="6" xfId="0" applyFont="1" applyBorder="1"/>
    <xf numFmtId="0" fontId="9" fillId="0" borderId="7" xfId="0" applyFont="1" applyBorder="1" applyAlignment="1" applyProtection="1">
      <protection locked="0"/>
    </xf>
    <xf numFmtId="44" fontId="11" fillId="0" borderId="19" xfId="1" applyFont="1" applyBorder="1"/>
    <xf numFmtId="14" fontId="9" fillId="0" borderId="17" xfId="0" applyNumberFormat="1" applyFont="1" applyBorder="1"/>
    <xf numFmtId="0" fontId="9" fillId="0" borderId="1" xfId="0" applyFont="1" applyBorder="1" applyAlignment="1" applyProtection="1">
      <alignment horizontal="center"/>
      <protection locked="0"/>
    </xf>
    <xf numFmtId="0" fontId="9" fillId="0" borderId="37" xfId="0" applyFont="1" applyBorder="1" applyAlignment="1" applyProtection="1">
      <protection locked="0"/>
    </xf>
    <xf numFmtId="14" fontId="9" fillId="0" borderId="10" xfId="0" applyNumberFormat="1" applyFont="1" applyBorder="1"/>
    <xf numFmtId="44" fontId="11" fillId="0" borderId="20" xfId="1" quotePrefix="1" applyFont="1" applyBorder="1"/>
    <xf numFmtId="0" fontId="9" fillId="0" borderId="26" xfId="0" applyFont="1" applyBorder="1"/>
    <xf numFmtId="0" fontId="9" fillId="0" borderId="23" xfId="0" applyFont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0" borderId="44" xfId="0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1" fillId="0" borderId="0" xfId="0" applyFont="1"/>
    <xf numFmtId="44" fontId="11" fillId="0" borderId="0" xfId="1" applyFont="1"/>
    <xf numFmtId="14" fontId="9" fillId="0" borderId="33" xfId="0" applyNumberFormat="1" applyFont="1" applyBorder="1"/>
    <xf numFmtId="44" fontId="11" fillId="0" borderId="11" xfId="1" applyFont="1" applyBorder="1"/>
    <xf numFmtId="0" fontId="9" fillId="0" borderId="11" xfId="0" applyFont="1" applyBorder="1"/>
    <xf numFmtId="0" fontId="9" fillId="0" borderId="11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protection locked="0"/>
    </xf>
    <xf numFmtId="164" fontId="11" fillId="0" borderId="1" xfId="0" applyNumberFormat="1" applyFont="1" applyBorder="1"/>
    <xf numFmtId="44" fontId="11" fillId="0" borderId="19" xfId="1" quotePrefix="1" applyFont="1" applyBorder="1"/>
    <xf numFmtId="44" fontId="11" fillId="0" borderId="20" xfId="1" applyFont="1" applyBorder="1"/>
    <xf numFmtId="164" fontId="9" fillId="0" borderId="0" xfId="0" applyNumberFormat="1" applyFont="1"/>
    <xf numFmtId="44" fontId="11" fillId="0" borderId="2" xfId="1" applyFont="1" applyBorder="1"/>
    <xf numFmtId="0" fontId="9" fillId="0" borderId="2" xfId="0" applyFont="1" applyBorder="1"/>
    <xf numFmtId="0" fontId="9" fillId="0" borderId="9" xfId="0" applyFont="1" applyBorder="1" applyAlignment="1" applyProtection="1">
      <protection locked="0"/>
    </xf>
    <xf numFmtId="0" fontId="8" fillId="2" borderId="1" xfId="0" applyFont="1" applyFill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0" fontId="8" fillId="2" borderId="46" xfId="0" applyFont="1" applyFill="1" applyBorder="1" applyAlignment="1">
      <alignment horizontal="center" vertical="center"/>
    </xf>
    <xf numFmtId="0" fontId="0" fillId="0" borderId="47" xfId="0" applyBorder="1"/>
    <xf numFmtId="0" fontId="0" fillId="0" borderId="48" xfId="0" applyBorder="1"/>
    <xf numFmtId="0" fontId="0" fillId="0" borderId="40" xfId="0" applyBorder="1"/>
    <xf numFmtId="49" fontId="0" fillId="0" borderId="1" xfId="0" applyNumberFormat="1" applyFont="1" applyBorder="1" applyAlignment="1">
      <alignment horizontal="center"/>
    </xf>
    <xf numFmtId="0" fontId="0" fillId="0" borderId="0" xfId="0" applyBorder="1"/>
    <xf numFmtId="0" fontId="0" fillId="0" borderId="31" xfId="0" applyFill="1" applyBorder="1"/>
    <xf numFmtId="0" fontId="10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44" fontId="11" fillId="0" borderId="30" xfId="1" applyFont="1" applyBorder="1" applyAlignment="1">
      <alignment horizontal="center" vertical="center"/>
    </xf>
    <xf numFmtId="44" fontId="11" fillId="0" borderId="32" xfId="1" applyFont="1" applyBorder="1" applyAlignment="1">
      <alignment horizontal="center" vertical="center"/>
    </xf>
    <xf numFmtId="44" fontId="11" fillId="0" borderId="10" xfId="1" applyFont="1" applyBorder="1" applyAlignment="1">
      <alignment horizontal="center" vertical="center"/>
    </xf>
    <xf numFmtId="44" fontId="11" fillId="0" borderId="14" xfId="1" applyFont="1" applyBorder="1" applyAlignment="1">
      <alignment horizontal="center" vertical="center"/>
    </xf>
    <xf numFmtId="44" fontId="11" fillId="0" borderId="3" xfId="1" applyFont="1" applyBorder="1" applyAlignment="1">
      <alignment horizontal="center" vertical="center"/>
    </xf>
    <xf numFmtId="44" fontId="11" fillId="0" borderId="12" xfId="1" applyFont="1" applyBorder="1" applyAlignment="1">
      <alignment horizontal="center" vertical="center"/>
    </xf>
    <xf numFmtId="164" fontId="9" fillId="0" borderId="15" xfId="0" applyNumberFormat="1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 vertical="center"/>
    </xf>
    <xf numFmtId="164" fontId="9" fillId="0" borderId="13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0" fillId="0" borderId="19" xfId="0" applyFont="1" applyBorder="1" applyAlignment="1">
      <alignment horizontal="right"/>
    </xf>
    <xf numFmtId="0" fontId="9" fillId="0" borderId="49" xfId="0" applyFont="1" applyBorder="1" applyAlignment="1">
      <alignment horizontal="right"/>
    </xf>
    <xf numFmtId="0" fontId="9" fillId="0" borderId="45" xfId="0" applyFont="1" applyBorder="1" applyAlignment="1">
      <alignment horizontal="center" shrinkToFit="1"/>
    </xf>
    <xf numFmtId="0" fontId="8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44" fontId="6" fillId="0" borderId="30" xfId="1" applyFont="1" applyBorder="1" applyAlignment="1">
      <alignment horizontal="center" vertical="center"/>
    </xf>
    <xf numFmtId="44" fontId="6" fillId="0" borderId="32" xfId="1" applyFont="1" applyBorder="1" applyAlignment="1">
      <alignment horizontal="center" vertical="center"/>
    </xf>
    <xf numFmtId="44" fontId="6" fillId="0" borderId="10" xfId="1" applyFont="1" applyBorder="1" applyAlignment="1">
      <alignment horizontal="center" vertical="center"/>
    </xf>
    <xf numFmtId="44" fontId="6" fillId="0" borderId="14" xfId="1" applyFont="1" applyBorder="1" applyAlignment="1">
      <alignment horizontal="center" vertical="center"/>
    </xf>
    <xf numFmtId="44" fontId="6" fillId="0" borderId="3" xfId="1" applyFont="1" applyBorder="1" applyAlignment="1">
      <alignment horizontal="center" vertical="center"/>
    </xf>
    <xf numFmtId="44" fontId="6" fillId="0" borderId="12" xfId="1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8" fillId="2" borderId="39" xfId="0" applyFont="1" applyFill="1" applyBorder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8" fillId="2" borderId="5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8" borderId="27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right"/>
    </xf>
    <xf numFmtId="0" fontId="8" fillId="8" borderId="30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right"/>
    </xf>
    <xf numFmtId="0" fontId="8" fillId="8" borderId="32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right"/>
    </xf>
    <xf numFmtId="0" fontId="13" fillId="0" borderId="46" xfId="0" applyFont="1" applyBorder="1" applyAlignment="1">
      <alignment horizontal="center" vertical="center" wrapText="1"/>
    </xf>
    <xf numFmtId="0" fontId="13" fillId="0" borderId="51" xfId="0" applyFont="1" applyBorder="1" applyAlignment="1">
      <alignment horizontal="center" vertical="center" wrapText="1"/>
    </xf>
    <xf numFmtId="0" fontId="13" fillId="0" borderId="52" xfId="0" applyFont="1" applyBorder="1" applyAlignment="1">
      <alignment horizontal="center" vertical="center" wrapText="1"/>
    </xf>
    <xf numFmtId="0" fontId="13" fillId="0" borderId="5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 wrapText="1"/>
    </xf>
    <xf numFmtId="0" fontId="13" fillId="0" borderId="56" xfId="0" applyFont="1" applyBorder="1" applyAlignment="1">
      <alignment horizontal="center" vertical="center" wrapText="1"/>
    </xf>
    <xf numFmtId="0" fontId="13" fillId="0" borderId="57" xfId="0" applyFont="1" applyBorder="1" applyAlignment="1">
      <alignment horizontal="center" vertical="center" wrapText="1"/>
    </xf>
    <xf numFmtId="0" fontId="0" fillId="0" borderId="37" xfId="0" applyFill="1" applyBorder="1"/>
    <xf numFmtId="14" fontId="9" fillId="0" borderId="0" xfId="0" applyNumberFormat="1" applyFont="1" applyBorder="1"/>
    <xf numFmtId="8" fontId="11" fillId="0" borderId="1" xfId="1" applyNumberFormat="1" applyFont="1" applyBorder="1"/>
    <xf numFmtId="44" fontId="11" fillId="0" borderId="1" xfId="1" quotePrefix="1" applyFont="1" applyBorder="1"/>
    <xf numFmtId="44" fontId="11" fillId="0" borderId="11" xfId="1" quotePrefix="1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 shrinkToFit="1"/>
    </xf>
    <xf numFmtId="0" fontId="10" fillId="0" borderId="0" xfId="0" applyFont="1" applyFill="1" applyBorder="1" applyAlignment="1">
      <alignment horizontal="center"/>
    </xf>
    <xf numFmtId="49" fontId="9" fillId="0" borderId="0" xfId="0" quotePrefix="1" applyNumberFormat="1" applyFont="1" applyFill="1" applyBorder="1" applyAlignment="1">
      <alignment horizontal="center" vertical="center"/>
    </xf>
    <xf numFmtId="49" fontId="11" fillId="0" borderId="6" xfId="1" applyNumberFormat="1" applyFont="1" applyBorder="1"/>
    <xf numFmtId="49" fontId="1" fillId="0" borderId="59" xfId="1" applyNumberFormat="1" applyFont="1" applyBorder="1"/>
    <xf numFmtId="49" fontId="1" fillId="0" borderId="41" xfId="1" quotePrefix="1" applyNumberFormat="1" applyFont="1" applyBorder="1"/>
    <xf numFmtId="49" fontId="1" fillId="0" borderId="58" xfId="1" applyNumberFormat="1" applyFont="1" applyBorder="1"/>
    <xf numFmtId="49" fontId="1" fillId="0" borderId="59" xfId="1" quotePrefix="1" applyNumberFormat="1" applyFont="1" applyBorder="1"/>
    <xf numFmtId="49" fontId="1" fillId="0" borderId="41" xfId="1" applyNumberFormat="1" applyFont="1" applyBorder="1"/>
    <xf numFmtId="49" fontId="0" fillId="0" borderId="37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0" fontId="9" fillId="0" borderId="27" xfId="0" applyFont="1" applyBorder="1" applyAlignment="1" applyProtection="1">
      <alignment horizontal="center"/>
      <protection locked="0"/>
    </xf>
    <xf numFmtId="0" fontId="9" fillId="0" borderId="5" xfId="0" applyFont="1" applyBorder="1" applyAlignment="1" applyProtection="1">
      <alignment horizontal="center"/>
      <protection locked="0"/>
    </xf>
    <xf numFmtId="0" fontId="9" fillId="0" borderId="17" xfId="0" applyFont="1" applyBorder="1" applyAlignment="1" applyProtection="1">
      <alignment horizontal="center"/>
      <protection locked="0"/>
    </xf>
    <xf numFmtId="0" fontId="9" fillId="0" borderId="33" xfId="0" applyFont="1" applyBorder="1" applyAlignment="1" applyProtection="1">
      <alignment horizontal="center"/>
      <protection locked="0"/>
    </xf>
    <xf numFmtId="0" fontId="9" fillId="0" borderId="8" xfId="0" applyFont="1" applyBorder="1" applyAlignment="1" applyProtection="1">
      <alignment horizontal="center"/>
      <protection locked="0"/>
    </xf>
    <xf numFmtId="49" fontId="1" fillId="0" borderId="60" xfId="1" applyNumberFormat="1" applyFont="1" applyBorder="1"/>
    <xf numFmtId="49" fontId="1" fillId="0" borderId="18" xfId="1" applyNumberFormat="1" applyFont="1" applyBorder="1"/>
    <xf numFmtId="49" fontId="1" fillId="0" borderId="19" xfId="1" applyNumberFormat="1" applyFont="1" applyBorder="1"/>
    <xf numFmtId="49" fontId="1" fillId="0" borderId="20" xfId="1" applyNumberFormat="1" applyFont="1" applyBorder="1"/>
    <xf numFmtId="49" fontId="0" fillId="0" borderId="20" xfId="0" applyNumberFormat="1" applyFont="1" applyBorder="1"/>
    <xf numFmtId="49" fontId="1" fillId="0" borderId="43" xfId="1" applyNumberFormat="1" applyFont="1" applyBorder="1"/>
    <xf numFmtId="0" fontId="9" fillId="0" borderId="50" xfId="0" applyFont="1" applyBorder="1"/>
    <xf numFmtId="0" fontId="9" fillId="0" borderId="61" xfId="0" applyFont="1" applyBorder="1"/>
  </cellXfs>
  <cellStyles count="2">
    <cellStyle name="Currency" xfId="1" builtinId="4"/>
    <cellStyle name="Normal" xfId="0" builtinId="0"/>
  </cellStyles>
  <dxfs count="2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15</xdr:row>
          <xdr:rowOff>152400</xdr:rowOff>
        </xdr:from>
        <xdr:to>
          <xdr:col>21</xdr:col>
          <xdr:colOff>581025</xdr:colOff>
          <xdr:row>18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6E66D069-2723-4AE8-A4C7-34508939B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18</xdr:row>
          <xdr:rowOff>95250</xdr:rowOff>
        </xdr:from>
        <xdr:to>
          <xdr:col>21</xdr:col>
          <xdr:colOff>581025</xdr:colOff>
          <xdr:row>20</xdr:row>
          <xdr:rowOff>152400</xdr:rowOff>
        </xdr:to>
        <xdr:sp macro="" textlink="">
          <xdr:nvSpPr>
            <xdr:cNvPr id="67586" name="Button 2" descr="Send All Sheets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2B9512C6-DE93-41B3-BC41-0991CF503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</xdr:row>
          <xdr:rowOff>152400</xdr:rowOff>
        </xdr:from>
        <xdr:to>
          <xdr:col>19</xdr:col>
          <xdr:colOff>581025</xdr:colOff>
          <xdr:row>18</xdr:row>
          <xdr:rowOff>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0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95250</xdr:rowOff>
        </xdr:from>
        <xdr:to>
          <xdr:col>19</xdr:col>
          <xdr:colOff>581025</xdr:colOff>
          <xdr:row>20</xdr:row>
          <xdr:rowOff>152400</xdr:rowOff>
        </xdr:to>
        <xdr:sp macro="" textlink="">
          <xdr:nvSpPr>
            <xdr:cNvPr id="65538" name="Button 2" descr="Send All Sheets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0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15</xdr:row>
          <xdr:rowOff>152400</xdr:rowOff>
        </xdr:from>
        <xdr:to>
          <xdr:col>19</xdr:col>
          <xdr:colOff>581025</xdr:colOff>
          <xdr:row>18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95250</xdr:rowOff>
        </xdr:from>
        <xdr:to>
          <xdr:col>19</xdr:col>
          <xdr:colOff>581025</xdr:colOff>
          <xdr:row>20</xdr:row>
          <xdr:rowOff>152400</xdr:rowOff>
        </xdr:to>
        <xdr:sp macro="" textlink="">
          <xdr:nvSpPr>
            <xdr:cNvPr id="60418" name="Button 2" descr="Send All Sheets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1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9177-E9DC-4933-B5B8-D9E67E26FE63}">
  <sheetPr codeName="Sheet22">
    <tabColor rgb="FF92D050"/>
  </sheetPr>
  <dimension ref="B1:W66"/>
  <sheetViews>
    <sheetView tabSelected="1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75" style="80" customWidth="1"/>
    <col min="2" max="2" width="10.125" style="80" customWidth="1"/>
    <col min="3" max="3" width="11" style="80"/>
    <col min="4" max="4" width="11" style="80" hidden="1" customWidth="1" outlineLevel="1"/>
    <col min="5" max="5" width="22.875" style="80" customWidth="1" collapsed="1"/>
    <col min="6" max="6" width="6" style="80" customWidth="1"/>
    <col min="7" max="7" width="8.75" style="80" customWidth="1"/>
    <col min="8" max="8" width="12.25" style="80" hidden="1" customWidth="1" outlineLevel="1"/>
    <col min="9" max="9" width="9.875" style="80" customWidth="1" collapsed="1"/>
    <col min="10" max="10" width="9.875" style="80" customWidth="1"/>
    <col min="11" max="11" width="11.75" style="80" bestFit="1" customWidth="1"/>
    <col min="12" max="12" width="1.75" style="80" customWidth="1"/>
    <col min="13" max="13" width="10.125" style="80" customWidth="1"/>
    <col min="14" max="14" width="11" style="80"/>
    <col min="15" max="15" width="11" style="80" hidden="1" customWidth="1" outlineLevel="1"/>
    <col min="16" max="16" width="18" style="80" customWidth="1" collapsed="1"/>
    <col min="17" max="17" width="7.75" style="80" bestFit="1" customWidth="1"/>
    <col min="18" max="18" width="9.25" style="80" bestFit="1" customWidth="1"/>
    <col min="19" max="19" width="11.75" style="80" hidden="1" customWidth="1" outlineLevel="1"/>
    <col min="20" max="20" width="1.625" style="80" customWidth="1" collapsed="1"/>
    <col min="21" max="21" width="13.375" style="80" customWidth="1"/>
    <col min="22" max="16384" width="11" style="80"/>
  </cols>
  <sheetData>
    <row r="1" spans="2:23" ht="11.25" customHeight="1" x14ac:dyDescent="0.25"/>
    <row r="2" spans="2:23" x14ac:dyDescent="0.25">
      <c r="B2" s="81" t="s">
        <v>0</v>
      </c>
      <c r="C2" s="82" t="s">
        <v>33</v>
      </c>
      <c r="D2" s="217"/>
      <c r="F2" s="162" t="s">
        <v>1</v>
      </c>
      <c r="G2" s="162"/>
      <c r="H2" s="162"/>
      <c r="I2" s="162"/>
      <c r="J2" s="162"/>
      <c r="K2" s="162"/>
      <c r="L2" s="162"/>
      <c r="M2" s="162"/>
      <c r="N2" s="162"/>
      <c r="O2" s="216"/>
      <c r="Q2" s="152" t="s">
        <v>64</v>
      </c>
      <c r="R2" s="151" t="s">
        <v>23</v>
      </c>
      <c r="U2" s="162" t="s">
        <v>50</v>
      </c>
      <c r="V2" s="162"/>
      <c r="W2" s="84"/>
    </row>
    <row r="3" spans="2:23" x14ac:dyDescent="0.25">
      <c r="B3" s="81" t="s">
        <v>2</v>
      </c>
      <c r="C3" s="85">
        <v>42990</v>
      </c>
      <c r="D3" s="210"/>
      <c r="F3" s="163" t="str">
        <f>$C$2 &amp;" - "&amp;Config!$D$3 &amp;" - "&amp; Config!$D$4 &amp;" - " &amp;TEXT($C$3,"YYYYMMDD")&amp;" - " &amp;TEXT($C$3+V5-1,"YYYYMMDD")</f>
        <v>2070 - YouCom Expense Sheet - Thiago Weidman - 20170912 - 20170914</v>
      </c>
      <c r="G3" s="163"/>
      <c r="H3" s="163"/>
      <c r="I3" s="163"/>
      <c r="J3" s="163"/>
      <c r="K3" s="163"/>
      <c r="L3" s="163"/>
      <c r="M3" s="163"/>
      <c r="N3" s="163"/>
      <c r="O3" s="214"/>
      <c r="P3" s="86"/>
      <c r="Q3" s="148" t="s">
        <v>67</v>
      </c>
      <c r="R3" s="143"/>
      <c r="U3" s="166" t="s">
        <v>73</v>
      </c>
      <c r="V3" s="167"/>
      <c r="W3" s="87"/>
    </row>
    <row r="4" spans="2:23" x14ac:dyDescent="0.25">
      <c r="B4" s="88"/>
      <c r="C4" s="89"/>
      <c r="D4" s="89"/>
      <c r="E4" s="88"/>
      <c r="F4" s="168"/>
      <c r="G4" s="168"/>
      <c r="H4" s="168"/>
      <c r="I4" s="168"/>
      <c r="J4" s="168"/>
      <c r="K4" s="168"/>
      <c r="L4" s="168"/>
      <c r="M4" s="168"/>
      <c r="N4" s="168"/>
      <c r="O4" s="215"/>
      <c r="P4" s="88"/>
      <c r="Q4" s="88"/>
      <c r="R4" s="88"/>
      <c r="S4" s="88"/>
      <c r="T4" s="88"/>
      <c r="U4" s="88"/>
    </row>
    <row r="5" spans="2:23" x14ac:dyDescent="0.25">
      <c r="B5" s="164" t="s">
        <v>3</v>
      </c>
      <c r="C5" s="164"/>
      <c r="D5" s="164"/>
      <c r="E5" s="164"/>
      <c r="F5" s="164"/>
      <c r="G5" s="164"/>
      <c r="H5" s="164"/>
      <c r="I5" s="164"/>
      <c r="J5" s="164"/>
      <c r="K5" s="164"/>
      <c r="M5" s="165" t="s">
        <v>4</v>
      </c>
      <c r="N5" s="165"/>
      <c r="O5" s="165"/>
      <c r="P5" s="165"/>
      <c r="Q5" s="165"/>
      <c r="R5" s="165"/>
      <c r="S5" s="165"/>
      <c r="T5" s="90"/>
      <c r="U5" s="91" t="s">
        <v>5</v>
      </c>
      <c r="V5" s="92">
        <v>3</v>
      </c>
    </row>
    <row r="6" spans="2:23" ht="16.5" thickBot="1" x14ac:dyDescent="0.3">
      <c r="B6" s="93" t="s">
        <v>6</v>
      </c>
      <c r="C6" s="93" t="s">
        <v>7</v>
      </c>
      <c r="D6" s="17" t="s">
        <v>64</v>
      </c>
      <c r="E6" s="93" t="s">
        <v>8</v>
      </c>
      <c r="F6" s="93" t="s">
        <v>9</v>
      </c>
      <c r="G6" s="93" t="s">
        <v>10</v>
      </c>
      <c r="H6" s="93" t="s">
        <v>36</v>
      </c>
      <c r="I6" s="94" t="s">
        <v>11</v>
      </c>
      <c r="J6" s="94" t="s">
        <v>12</v>
      </c>
      <c r="K6" s="93" t="s">
        <v>13</v>
      </c>
      <c r="M6" s="95" t="s">
        <v>6</v>
      </c>
      <c r="N6" s="95" t="s">
        <v>7</v>
      </c>
      <c r="O6" s="11" t="s">
        <v>64</v>
      </c>
      <c r="P6" s="95" t="s">
        <v>8</v>
      </c>
      <c r="Q6" s="95" t="s">
        <v>9</v>
      </c>
      <c r="R6" s="95" t="s">
        <v>10</v>
      </c>
      <c r="S6" s="95" t="s">
        <v>36</v>
      </c>
      <c r="U6" s="91" t="s">
        <v>14</v>
      </c>
      <c r="V6" s="96">
        <v>85</v>
      </c>
    </row>
    <row r="7" spans="2:23" ht="16.5" thickBot="1" x14ac:dyDescent="0.3">
      <c r="B7" s="97">
        <f>$C$3</f>
        <v>42990</v>
      </c>
      <c r="C7" s="114">
        <v>96</v>
      </c>
      <c r="D7" s="218" t="s">
        <v>67</v>
      </c>
      <c r="E7" s="99" t="s">
        <v>22</v>
      </c>
      <c r="F7" s="100" t="s">
        <v>15</v>
      </c>
      <c r="G7" s="101" t="s">
        <v>15</v>
      </c>
      <c r="H7" s="102" t="s">
        <v>47</v>
      </c>
      <c r="I7" s="153">
        <f>SUM(C7:C11)</f>
        <v>111.9</v>
      </c>
      <c r="J7" s="156">
        <f>$V$6-I7</f>
        <v>-26.900000000000006</v>
      </c>
      <c r="K7" s="159">
        <f>($V$6-I7)</f>
        <v>-26.900000000000006</v>
      </c>
      <c r="M7" s="103">
        <f>C$3 + $V$5 -1</f>
        <v>42992</v>
      </c>
      <c r="N7" s="104"/>
      <c r="O7" s="232" t="s">
        <v>67</v>
      </c>
      <c r="P7" s="238" t="s">
        <v>20</v>
      </c>
      <c r="Q7" s="227" t="s">
        <v>15</v>
      </c>
      <c r="R7" s="106" t="s">
        <v>15</v>
      </c>
      <c r="S7" s="107" t="s">
        <v>48</v>
      </c>
      <c r="T7" s="80" t="s">
        <v>37</v>
      </c>
      <c r="U7" s="91" t="s">
        <v>16</v>
      </c>
      <c r="V7" s="96">
        <f>V6*V5</f>
        <v>255</v>
      </c>
    </row>
    <row r="8" spans="2:23" ht="16.5" thickBot="1" x14ac:dyDescent="0.3">
      <c r="B8" s="108">
        <f>$C$3</f>
        <v>42990</v>
      </c>
      <c r="C8" s="211">
        <v>15.9</v>
      </c>
      <c r="D8" s="219" t="s">
        <v>67</v>
      </c>
      <c r="E8" s="110" t="s">
        <v>22</v>
      </c>
      <c r="F8" s="111" t="s">
        <v>15</v>
      </c>
      <c r="G8" s="112" t="s">
        <v>15</v>
      </c>
      <c r="H8" s="113" t="s">
        <v>47</v>
      </c>
      <c r="I8" s="154"/>
      <c r="J8" s="157"/>
      <c r="K8" s="160"/>
      <c r="M8" s="103">
        <f>C$3 + $V$5 -1</f>
        <v>42992</v>
      </c>
      <c r="N8" s="104">
        <v>0</v>
      </c>
      <c r="O8" s="232" t="s">
        <v>67</v>
      </c>
      <c r="P8" s="238" t="s">
        <v>26</v>
      </c>
      <c r="Q8" s="227" t="s">
        <v>27</v>
      </c>
      <c r="R8" s="106" t="s">
        <v>27</v>
      </c>
      <c r="S8" s="107" t="s">
        <v>49</v>
      </c>
      <c r="T8" s="80" t="s">
        <v>37</v>
      </c>
    </row>
    <row r="9" spans="2:23" x14ac:dyDescent="0.25">
      <c r="B9" s="108">
        <f>$C$3</f>
        <v>42990</v>
      </c>
      <c r="C9" s="211"/>
      <c r="D9" s="219" t="s">
        <v>67</v>
      </c>
      <c r="E9" s="110" t="s">
        <v>22</v>
      </c>
      <c r="F9" s="111" t="s">
        <v>15</v>
      </c>
      <c r="G9" s="112" t="s">
        <v>15</v>
      </c>
      <c r="H9" s="113" t="s">
        <v>47</v>
      </c>
      <c r="I9" s="154"/>
      <c r="J9" s="157"/>
      <c r="K9" s="160"/>
      <c r="M9" s="97">
        <f>C$3</f>
        <v>42990</v>
      </c>
      <c r="N9" s="114">
        <v>17</v>
      </c>
      <c r="O9" s="233" t="s">
        <v>67</v>
      </c>
      <c r="P9" s="99" t="s">
        <v>24</v>
      </c>
      <c r="Q9" s="228" t="s">
        <v>15</v>
      </c>
      <c r="R9" s="101" t="s">
        <v>15</v>
      </c>
      <c r="S9" s="116" t="s">
        <v>46</v>
      </c>
      <c r="T9" s="80" t="s">
        <v>37</v>
      </c>
      <c r="U9" s="91" t="s">
        <v>17</v>
      </c>
      <c r="V9" s="96">
        <f>SUM(C7:C66)</f>
        <v>239.87</v>
      </c>
    </row>
    <row r="10" spans="2:23" x14ac:dyDescent="0.25">
      <c r="B10" s="108">
        <f>$C$3</f>
        <v>42990</v>
      </c>
      <c r="C10" s="96"/>
      <c r="D10" s="219" t="s">
        <v>67</v>
      </c>
      <c r="E10" s="110" t="s">
        <v>22</v>
      </c>
      <c r="F10" s="111" t="s">
        <v>15</v>
      </c>
      <c r="G10" s="112" t="s">
        <v>15</v>
      </c>
      <c r="H10" s="113" t="s">
        <v>47</v>
      </c>
      <c r="I10" s="154"/>
      <c r="J10" s="157"/>
      <c r="K10" s="160"/>
      <c r="M10" s="118">
        <f>C$3</f>
        <v>42990</v>
      </c>
      <c r="N10" s="96">
        <v>21.22</v>
      </c>
      <c r="O10" s="234" t="s">
        <v>67</v>
      </c>
      <c r="P10" s="110" t="s">
        <v>25</v>
      </c>
      <c r="Q10" s="229" t="s">
        <v>15</v>
      </c>
      <c r="R10" s="119" t="s">
        <v>15</v>
      </c>
      <c r="S10" s="120" t="s">
        <v>46</v>
      </c>
      <c r="T10" s="80" t="s">
        <v>37</v>
      </c>
      <c r="U10" s="91" t="s">
        <v>12</v>
      </c>
      <c r="V10" s="96">
        <f>V7-V9</f>
        <v>15.129999999999995</v>
      </c>
    </row>
    <row r="11" spans="2:23" ht="16.5" thickBot="1" x14ac:dyDescent="0.3">
      <c r="B11" s="121">
        <f>$C$3</f>
        <v>42990</v>
      </c>
      <c r="C11" s="213"/>
      <c r="D11" s="220" t="s">
        <v>67</v>
      </c>
      <c r="E11" s="123" t="s">
        <v>22</v>
      </c>
      <c r="F11" s="124" t="s">
        <v>15</v>
      </c>
      <c r="G11" s="125" t="s">
        <v>15</v>
      </c>
      <c r="H11" s="126" t="s">
        <v>47</v>
      </c>
      <c r="I11" s="155"/>
      <c r="J11" s="158"/>
      <c r="K11" s="161"/>
      <c r="M11" s="118">
        <f>C$3</f>
        <v>42990</v>
      </c>
      <c r="N11" s="96"/>
      <c r="O11" s="234" t="s">
        <v>67</v>
      </c>
      <c r="P11" s="110" t="s">
        <v>24</v>
      </c>
      <c r="Q11" s="229" t="s">
        <v>15</v>
      </c>
      <c r="R11" s="119" t="s">
        <v>15</v>
      </c>
      <c r="S11" s="120" t="s">
        <v>46</v>
      </c>
      <c r="T11" s="80" t="s">
        <v>37</v>
      </c>
      <c r="U11" s="127"/>
      <c r="V11" s="128"/>
    </row>
    <row r="12" spans="2:23" ht="16.5" thickBot="1" x14ac:dyDescent="0.3">
      <c r="B12" s="97">
        <f>$C$3 +1</f>
        <v>42991</v>
      </c>
      <c r="C12" s="114">
        <v>55.92</v>
      </c>
      <c r="D12" s="221" t="s">
        <v>67</v>
      </c>
      <c r="E12" s="99" t="s">
        <v>22</v>
      </c>
      <c r="F12" s="100" t="s">
        <v>15</v>
      </c>
      <c r="G12" s="101" t="s">
        <v>15</v>
      </c>
      <c r="H12" s="102" t="s">
        <v>47</v>
      </c>
      <c r="I12" s="153">
        <f>SUM(C12:C16)</f>
        <v>75.97</v>
      </c>
      <c r="J12" s="156">
        <f>$V$6-I12</f>
        <v>9.0300000000000011</v>
      </c>
      <c r="K12" s="159">
        <f>($V$6-I12)+K7</f>
        <v>-17.870000000000005</v>
      </c>
      <c r="L12" s="129"/>
      <c r="M12" s="130">
        <f>C$3</f>
        <v>42990</v>
      </c>
      <c r="N12" s="131"/>
      <c r="O12" s="235" t="s">
        <v>67</v>
      </c>
      <c r="P12" s="123" t="s">
        <v>24</v>
      </c>
      <c r="Q12" s="230" t="s">
        <v>15</v>
      </c>
      <c r="R12" s="133" t="s">
        <v>15</v>
      </c>
      <c r="S12" s="134" t="s">
        <v>46</v>
      </c>
      <c r="T12" s="80" t="s">
        <v>37</v>
      </c>
      <c r="U12" s="91" t="s">
        <v>18</v>
      </c>
      <c r="V12" s="135">
        <f>SUM(N9:N56)</f>
        <v>107.87</v>
      </c>
    </row>
    <row r="13" spans="2:23" x14ac:dyDescent="0.25">
      <c r="B13" s="108">
        <f>$C$3 +1</f>
        <v>42991</v>
      </c>
      <c r="C13" s="96">
        <v>20.05</v>
      </c>
      <c r="D13" s="219" t="s">
        <v>67</v>
      </c>
      <c r="E13" s="110" t="s">
        <v>22</v>
      </c>
      <c r="F13" s="111" t="s">
        <v>15</v>
      </c>
      <c r="G13" s="112" t="s">
        <v>15</v>
      </c>
      <c r="H13" s="113" t="s">
        <v>47</v>
      </c>
      <c r="I13" s="154"/>
      <c r="J13" s="157"/>
      <c r="K13" s="160"/>
      <c r="L13" s="129"/>
      <c r="M13" s="97">
        <f>C$3 + 1</f>
        <v>42991</v>
      </c>
      <c r="N13" s="114">
        <v>10.55</v>
      </c>
      <c r="O13" s="233" t="s">
        <v>67</v>
      </c>
      <c r="P13" s="99" t="s">
        <v>25</v>
      </c>
      <c r="Q13" s="228" t="s">
        <v>15</v>
      </c>
      <c r="R13" s="101" t="s">
        <v>15</v>
      </c>
      <c r="S13" s="116" t="s">
        <v>46</v>
      </c>
      <c r="T13" s="80" t="s">
        <v>37</v>
      </c>
      <c r="U13" s="91" t="s">
        <v>20</v>
      </c>
      <c r="V13" s="135">
        <f>SUM(N7)</f>
        <v>0</v>
      </c>
    </row>
    <row r="14" spans="2:23" x14ac:dyDescent="0.25">
      <c r="B14" s="108">
        <f>$C$3 +1</f>
        <v>42991</v>
      </c>
      <c r="C14" s="96"/>
      <c r="D14" s="219" t="s">
        <v>67</v>
      </c>
      <c r="E14" s="110" t="s">
        <v>22</v>
      </c>
      <c r="F14" s="111" t="s">
        <v>15</v>
      </c>
      <c r="G14" s="112" t="s">
        <v>15</v>
      </c>
      <c r="H14" s="113" t="s">
        <v>47</v>
      </c>
      <c r="I14" s="154"/>
      <c r="J14" s="157"/>
      <c r="K14" s="160"/>
      <c r="L14" s="129"/>
      <c r="M14" s="118">
        <f>C$3 + 1</f>
        <v>42991</v>
      </c>
      <c r="N14" s="96">
        <v>9.57</v>
      </c>
      <c r="O14" s="234" t="s">
        <v>67</v>
      </c>
      <c r="P14" s="110" t="s">
        <v>25</v>
      </c>
      <c r="Q14" s="229" t="s">
        <v>15</v>
      </c>
      <c r="R14" s="119" t="s">
        <v>15</v>
      </c>
      <c r="S14" s="120" t="s">
        <v>46</v>
      </c>
      <c r="T14" s="80" t="s">
        <v>37</v>
      </c>
      <c r="V14" s="128"/>
    </row>
    <row r="15" spans="2:23" x14ac:dyDescent="0.25">
      <c r="B15" s="108">
        <f>$C$3 +1</f>
        <v>42991</v>
      </c>
      <c r="C15" s="212"/>
      <c r="D15" s="222" t="s">
        <v>67</v>
      </c>
      <c r="E15" s="110" t="s">
        <v>22</v>
      </c>
      <c r="F15" s="111" t="s">
        <v>15</v>
      </c>
      <c r="G15" s="112" t="s">
        <v>15</v>
      </c>
      <c r="H15" s="113" t="s">
        <v>47</v>
      </c>
      <c r="I15" s="154"/>
      <c r="J15" s="157"/>
      <c r="K15" s="160"/>
      <c r="L15" s="129"/>
      <c r="M15" s="118">
        <f>C$3 + 1</f>
        <v>42991</v>
      </c>
      <c r="N15" s="96"/>
      <c r="O15" s="234" t="s">
        <v>67</v>
      </c>
      <c r="P15" s="110" t="s">
        <v>25</v>
      </c>
      <c r="Q15" s="229" t="s">
        <v>15</v>
      </c>
      <c r="R15" s="119" t="s">
        <v>15</v>
      </c>
      <c r="S15" s="120" t="s">
        <v>46</v>
      </c>
      <c r="T15" s="80" t="s">
        <v>37</v>
      </c>
      <c r="U15" s="91" t="s">
        <v>19</v>
      </c>
      <c r="V15" s="135">
        <f>V12+V9+V13</f>
        <v>347.74</v>
      </c>
    </row>
    <row r="16" spans="2:23" ht="16.5" thickBot="1" x14ac:dyDescent="0.3">
      <c r="B16" s="121">
        <f>$C$3 +1</f>
        <v>42991</v>
      </c>
      <c r="C16" s="131"/>
      <c r="D16" s="223" t="s">
        <v>67</v>
      </c>
      <c r="E16" s="123" t="s">
        <v>22</v>
      </c>
      <c r="F16" s="124" t="s">
        <v>15</v>
      </c>
      <c r="G16" s="125" t="s">
        <v>15</v>
      </c>
      <c r="H16" s="126" t="s">
        <v>47</v>
      </c>
      <c r="I16" s="155"/>
      <c r="J16" s="158"/>
      <c r="K16" s="161"/>
      <c r="M16" s="130">
        <f>C$3 + 1</f>
        <v>42991</v>
      </c>
      <c r="N16" s="131">
        <v>15</v>
      </c>
      <c r="O16" s="235" t="s">
        <v>67</v>
      </c>
      <c r="P16" s="123" t="s">
        <v>24</v>
      </c>
      <c r="Q16" s="230" t="s">
        <v>15</v>
      </c>
      <c r="R16" s="133" t="s">
        <v>15</v>
      </c>
      <c r="S16" s="134" t="s">
        <v>46</v>
      </c>
      <c r="T16" s="80" t="s">
        <v>37</v>
      </c>
    </row>
    <row r="17" spans="2:22" x14ac:dyDescent="0.25">
      <c r="B17" s="97">
        <f>$C$3 +2</f>
        <v>42992</v>
      </c>
      <c r="C17" s="114">
        <v>29</v>
      </c>
      <c r="D17" s="221" t="s">
        <v>67</v>
      </c>
      <c r="E17" s="99" t="s">
        <v>22</v>
      </c>
      <c r="F17" s="100" t="s">
        <v>15</v>
      </c>
      <c r="G17" s="101" t="s">
        <v>15</v>
      </c>
      <c r="H17" s="102" t="s">
        <v>47</v>
      </c>
      <c r="I17" s="153">
        <f>SUM(C17:C21)</f>
        <v>52</v>
      </c>
      <c r="J17" s="156">
        <f>$V$6-I17</f>
        <v>33</v>
      </c>
      <c r="K17" s="159">
        <f>($V$6-I17)+K12</f>
        <v>15.129999999999995</v>
      </c>
      <c r="M17" s="97">
        <f>C$3 + 2</f>
        <v>42992</v>
      </c>
      <c r="N17" s="114">
        <v>21</v>
      </c>
      <c r="O17" s="233" t="s">
        <v>67</v>
      </c>
      <c r="P17" s="99" t="s">
        <v>24</v>
      </c>
      <c r="Q17" s="228" t="s">
        <v>15</v>
      </c>
      <c r="R17" s="101" t="s">
        <v>15</v>
      </c>
      <c r="S17" s="116" t="s">
        <v>46</v>
      </c>
      <c r="T17" s="80" t="s">
        <v>37</v>
      </c>
      <c r="V17" s="138"/>
    </row>
    <row r="18" spans="2:22" x14ac:dyDescent="0.25">
      <c r="B18" s="108">
        <f>$C$3 +2</f>
        <v>42992</v>
      </c>
      <c r="C18" s="96">
        <v>7</v>
      </c>
      <c r="D18" s="219" t="s">
        <v>67</v>
      </c>
      <c r="E18" s="110" t="s">
        <v>22</v>
      </c>
      <c r="F18" s="111" t="s">
        <v>15</v>
      </c>
      <c r="G18" s="112" t="s">
        <v>15</v>
      </c>
      <c r="H18" s="113" t="s">
        <v>47</v>
      </c>
      <c r="I18" s="154"/>
      <c r="J18" s="157"/>
      <c r="K18" s="160"/>
      <c r="M18" s="118">
        <f>C$3 + 2</f>
        <v>42992</v>
      </c>
      <c r="N18" s="96"/>
      <c r="O18" s="234" t="s">
        <v>67</v>
      </c>
      <c r="P18" s="110" t="s">
        <v>24</v>
      </c>
      <c r="Q18" s="229" t="s">
        <v>15</v>
      </c>
      <c r="R18" s="119" t="s">
        <v>15</v>
      </c>
      <c r="S18" s="120" t="s">
        <v>46</v>
      </c>
      <c r="T18" s="80" t="s">
        <v>37</v>
      </c>
      <c r="V18" s="138"/>
    </row>
    <row r="19" spans="2:22" x14ac:dyDescent="0.25">
      <c r="B19" s="108">
        <f>$C$3 +2</f>
        <v>42992</v>
      </c>
      <c r="C19" s="96">
        <v>16</v>
      </c>
      <c r="D19" s="219" t="s">
        <v>67</v>
      </c>
      <c r="E19" s="110" t="s">
        <v>34</v>
      </c>
      <c r="F19" s="111" t="s">
        <v>15</v>
      </c>
      <c r="G19" s="112" t="s">
        <v>15</v>
      </c>
      <c r="H19" s="113" t="s">
        <v>47</v>
      </c>
      <c r="I19" s="154"/>
      <c r="J19" s="157"/>
      <c r="K19" s="160"/>
      <c r="M19" s="118">
        <f>C$3 + 2</f>
        <v>42992</v>
      </c>
      <c r="N19" s="96">
        <v>6.85</v>
      </c>
      <c r="O19" s="234" t="s">
        <v>67</v>
      </c>
      <c r="P19" s="110" t="s">
        <v>25</v>
      </c>
      <c r="Q19" s="229" t="s">
        <v>15</v>
      </c>
      <c r="R19" s="119" t="s">
        <v>15</v>
      </c>
      <c r="S19" s="120" t="s">
        <v>46</v>
      </c>
      <c r="T19" s="80" t="s">
        <v>37</v>
      </c>
      <c r="V19" s="138"/>
    </row>
    <row r="20" spans="2:22" ht="16.5" thickBot="1" x14ac:dyDescent="0.3">
      <c r="B20" s="108">
        <f>$C$3 +2</f>
        <v>42992</v>
      </c>
      <c r="C20" s="96"/>
      <c r="D20" s="219" t="s">
        <v>67</v>
      </c>
      <c r="E20" s="110" t="s">
        <v>22</v>
      </c>
      <c r="F20" s="111" t="s">
        <v>15</v>
      </c>
      <c r="G20" s="112" t="s">
        <v>15</v>
      </c>
      <c r="H20" s="113" t="s">
        <v>47</v>
      </c>
      <c r="I20" s="154"/>
      <c r="J20" s="157"/>
      <c r="K20" s="160"/>
      <c r="M20" s="130">
        <f>C$3 + 2</f>
        <v>42992</v>
      </c>
      <c r="N20" s="131">
        <v>6.68</v>
      </c>
      <c r="O20" s="235" t="s">
        <v>67</v>
      </c>
      <c r="P20" s="123" t="s">
        <v>25</v>
      </c>
      <c r="Q20" s="230" t="s">
        <v>15</v>
      </c>
      <c r="R20" s="133" t="s">
        <v>15</v>
      </c>
      <c r="S20" s="134" t="s">
        <v>46</v>
      </c>
      <c r="T20" s="80" t="s">
        <v>37</v>
      </c>
      <c r="V20" s="138"/>
    </row>
    <row r="21" spans="2:22" ht="16.5" thickBot="1" x14ac:dyDescent="0.3">
      <c r="B21" s="121">
        <f>$C$3 +2</f>
        <v>42992</v>
      </c>
      <c r="C21" s="131"/>
      <c r="D21" s="223" t="s">
        <v>67</v>
      </c>
      <c r="E21" s="123" t="s">
        <v>22</v>
      </c>
      <c r="F21" s="124" t="s">
        <v>15</v>
      </c>
      <c r="G21" s="125" t="s">
        <v>15</v>
      </c>
      <c r="H21" s="126" t="s">
        <v>47</v>
      </c>
      <c r="I21" s="155"/>
      <c r="J21" s="158"/>
      <c r="K21" s="161"/>
      <c r="M21" s="97">
        <f>C$3 + 3</f>
        <v>42993</v>
      </c>
      <c r="N21" s="114"/>
      <c r="O21" s="233" t="s">
        <v>67</v>
      </c>
      <c r="P21" s="99" t="s">
        <v>24</v>
      </c>
      <c r="Q21" s="228" t="s">
        <v>15</v>
      </c>
      <c r="R21" s="101" t="s">
        <v>15</v>
      </c>
      <c r="S21" s="116" t="s">
        <v>46</v>
      </c>
      <c r="T21" s="80" t="s">
        <v>37</v>
      </c>
    </row>
    <row r="22" spans="2:22" x14ac:dyDescent="0.25">
      <c r="B22" s="97">
        <f>$C$3 + 3</f>
        <v>42993</v>
      </c>
      <c r="C22" s="114"/>
      <c r="D22" s="221" t="s">
        <v>67</v>
      </c>
      <c r="E22" s="99" t="s">
        <v>22</v>
      </c>
      <c r="F22" s="100" t="s">
        <v>15</v>
      </c>
      <c r="G22" s="101" t="s">
        <v>15</v>
      </c>
      <c r="H22" s="102" t="s">
        <v>47</v>
      </c>
      <c r="I22" s="153">
        <f>SUM(C22:C26)</f>
        <v>0</v>
      </c>
      <c r="J22" s="156">
        <f>$V$6-I22</f>
        <v>85</v>
      </c>
      <c r="K22" s="159">
        <f>($V$6-I22)+K17</f>
        <v>100.13</v>
      </c>
      <c r="M22" s="118">
        <f>C$3 + 3</f>
        <v>42993</v>
      </c>
      <c r="N22" s="96"/>
      <c r="O22" s="234" t="s">
        <v>67</v>
      </c>
      <c r="P22" s="110" t="s">
        <v>24</v>
      </c>
      <c r="Q22" s="229" t="s">
        <v>15</v>
      </c>
      <c r="R22" s="119" t="s">
        <v>15</v>
      </c>
      <c r="S22" s="120" t="s">
        <v>46</v>
      </c>
      <c r="T22" s="80" t="s">
        <v>37</v>
      </c>
    </row>
    <row r="23" spans="2:22" x14ac:dyDescent="0.25">
      <c r="B23" s="108">
        <f>$C$3 + 3</f>
        <v>42993</v>
      </c>
      <c r="C23" s="96"/>
      <c r="D23" s="219" t="s">
        <v>67</v>
      </c>
      <c r="E23" s="110" t="s">
        <v>22</v>
      </c>
      <c r="F23" s="111" t="s">
        <v>15</v>
      </c>
      <c r="G23" s="112" t="s">
        <v>15</v>
      </c>
      <c r="H23" s="113" t="s">
        <v>47</v>
      </c>
      <c r="I23" s="154"/>
      <c r="J23" s="157"/>
      <c r="K23" s="160"/>
      <c r="M23" s="118">
        <f>C$3 + 3</f>
        <v>42993</v>
      </c>
      <c r="N23" s="96"/>
      <c r="O23" s="234" t="s">
        <v>67</v>
      </c>
      <c r="P23" s="110" t="s">
        <v>24</v>
      </c>
      <c r="Q23" s="229" t="s">
        <v>15</v>
      </c>
      <c r="R23" s="119" t="s">
        <v>15</v>
      </c>
      <c r="S23" s="120" t="s">
        <v>46</v>
      </c>
      <c r="T23" s="80" t="s">
        <v>37</v>
      </c>
    </row>
    <row r="24" spans="2:22" ht="16.5" thickBot="1" x14ac:dyDescent="0.3">
      <c r="B24" s="108">
        <f>$C$3 + 3</f>
        <v>42993</v>
      </c>
      <c r="C24" s="96"/>
      <c r="D24" s="219" t="s">
        <v>67</v>
      </c>
      <c r="E24" s="110" t="s">
        <v>22</v>
      </c>
      <c r="F24" s="111" t="s">
        <v>15</v>
      </c>
      <c r="G24" s="112" t="s">
        <v>15</v>
      </c>
      <c r="H24" s="113" t="s">
        <v>47</v>
      </c>
      <c r="I24" s="154"/>
      <c r="J24" s="157"/>
      <c r="K24" s="160"/>
      <c r="M24" s="130">
        <f>C$3 + 3</f>
        <v>42993</v>
      </c>
      <c r="N24" s="132"/>
      <c r="O24" s="236" t="s">
        <v>67</v>
      </c>
      <c r="P24" s="123" t="s">
        <v>25</v>
      </c>
      <c r="Q24" s="230" t="s">
        <v>15</v>
      </c>
      <c r="R24" s="133" t="s">
        <v>15</v>
      </c>
      <c r="S24" s="134" t="s">
        <v>46</v>
      </c>
      <c r="T24" s="80" t="s">
        <v>37</v>
      </c>
    </row>
    <row r="25" spans="2:22" x14ac:dyDescent="0.25">
      <c r="B25" s="108">
        <f>$C$3 + 3</f>
        <v>42993</v>
      </c>
      <c r="C25" s="96"/>
      <c r="D25" s="219" t="s">
        <v>67</v>
      </c>
      <c r="E25" s="110" t="s">
        <v>22</v>
      </c>
      <c r="F25" s="111" t="s">
        <v>15</v>
      </c>
      <c r="G25" s="112" t="s">
        <v>15</v>
      </c>
      <c r="H25" s="113" t="s">
        <v>47</v>
      </c>
      <c r="I25" s="154"/>
      <c r="J25" s="157"/>
      <c r="K25" s="160"/>
      <c r="M25" s="97">
        <f>C$3 + 4</f>
        <v>42994</v>
      </c>
      <c r="N25" s="114"/>
      <c r="O25" s="233" t="s">
        <v>67</v>
      </c>
      <c r="P25" s="99" t="s">
        <v>24</v>
      </c>
      <c r="Q25" s="228" t="s">
        <v>15</v>
      </c>
      <c r="R25" s="101" t="s">
        <v>15</v>
      </c>
      <c r="S25" s="116" t="s">
        <v>46</v>
      </c>
      <c r="T25" s="80" t="s">
        <v>37</v>
      </c>
    </row>
    <row r="26" spans="2:22" ht="16.5" thickBot="1" x14ac:dyDescent="0.3">
      <c r="B26" s="121">
        <f>$C$3 + 3</f>
        <v>42993</v>
      </c>
      <c r="C26" s="131"/>
      <c r="D26" s="223" t="s">
        <v>67</v>
      </c>
      <c r="E26" s="123" t="s">
        <v>22</v>
      </c>
      <c r="F26" s="124" t="s">
        <v>15</v>
      </c>
      <c r="G26" s="125" t="s">
        <v>15</v>
      </c>
      <c r="H26" s="126" t="s">
        <v>47</v>
      </c>
      <c r="I26" s="155"/>
      <c r="J26" s="158"/>
      <c r="K26" s="161"/>
      <c r="M26" s="118">
        <f>C$3 + 4</f>
        <v>42994</v>
      </c>
      <c r="N26" s="96"/>
      <c r="O26" s="234" t="s">
        <v>67</v>
      </c>
      <c r="P26" s="110" t="s">
        <v>24</v>
      </c>
      <c r="Q26" s="229" t="s">
        <v>15</v>
      </c>
      <c r="R26" s="119" t="s">
        <v>15</v>
      </c>
      <c r="S26" s="120" t="s">
        <v>46</v>
      </c>
      <c r="T26" s="80" t="s">
        <v>37</v>
      </c>
    </row>
    <row r="27" spans="2:22" x14ac:dyDescent="0.25">
      <c r="B27" s="97">
        <f>$C$3 + 4</f>
        <v>42994</v>
      </c>
      <c r="C27" s="114"/>
      <c r="D27" s="221" t="s">
        <v>67</v>
      </c>
      <c r="E27" s="99" t="s">
        <v>34</v>
      </c>
      <c r="F27" s="100" t="s">
        <v>15</v>
      </c>
      <c r="G27" s="101" t="s">
        <v>15</v>
      </c>
      <c r="H27" s="102" t="s">
        <v>47</v>
      </c>
      <c r="I27" s="153">
        <f>SUM(C27:C31)</f>
        <v>0</v>
      </c>
      <c r="J27" s="156">
        <f>$V$6-I27</f>
        <v>85</v>
      </c>
      <c r="K27" s="159">
        <f>($V$6-I27)+K22</f>
        <v>185.13</v>
      </c>
      <c r="M27" s="118">
        <f>C$3 + 4</f>
        <v>42994</v>
      </c>
      <c r="N27" s="96"/>
      <c r="O27" s="234" t="s">
        <v>67</v>
      </c>
      <c r="P27" s="110" t="s">
        <v>25</v>
      </c>
      <c r="Q27" s="229" t="s">
        <v>15</v>
      </c>
      <c r="R27" s="119" t="s">
        <v>15</v>
      </c>
      <c r="S27" s="120" t="s">
        <v>46</v>
      </c>
      <c r="T27" s="80" t="s">
        <v>37</v>
      </c>
    </row>
    <row r="28" spans="2:22" ht="16.5" thickBot="1" x14ac:dyDescent="0.3">
      <c r="B28" s="118">
        <f>$C$3 + 4</f>
        <v>42994</v>
      </c>
      <c r="C28" s="96"/>
      <c r="D28" s="219" t="s">
        <v>67</v>
      </c>
      <c r="E28" s="110" t="s">
        <v>22</v>
      </c>
      <c r="F28" s="111" t="s">
        <v>15</v>
      </c>
      <c r="G28" s="112" t="s">
        <v>15</v>
      </c>
      <c r="H28" s="113" t="s">
        <v>47</v>
      </c>
      <c r="I28" s="154"/>
      <c r="J28" s="157"/>
      <c r="K28" s="160"/>
      <c r="M28" s="130">
        <f>C$3 + 4</f>
        <v>42994</v>
      </c>
      <c r="N28" s="131"/>
      <c r="O28" s="235" t="s">
        <v>67</v>
      </c>
      <c r="P28" s="123" t="s">
        <v>24</v>
      </c>
      <c r="Q28" s="230" t="s">
        <v>15</v>
      </c>
      <c r="R28" s="133" t="s">
        <v>15</v>
      </c>
      <c r="S28" s="134" t="s">
        <v>46</v>
      </c>
      <c r="T28" s="80" t="s">
        <v>37</v>
      </c>
    </row>
    <row r="29" spans="2:22" x14ac:dyDescent="0.25">
      <c r="B29" s="118">
        <f>$C$3 + 4</f>
        <v>42994</v>
      </c>
      <c r="C29" s="96"/>
      <c r="D29" s="219" t="s">
        <v>67</v>
      </c>
      <c r="E29" s="110" t="s">
        <v>22</v>
      </c>
      <c r="F29" s="111" t="s">
        <v>15</v>
      </c>
      <c r="G29" s="112" t="s">
        <v>15</v>
      </c>
      <c r="H29" s="113" t="s">
        <v>47</v>
      </c>
      <c r="I29" s="154"/>
      <c r="J29" s="157"/>
      <c r="K29" s="160"/>
      <c r="M29" s="97">
        <f>C$3 + 5</f>
        <v>42995</v>
      </c>
      <c r="N29" s="114"/>
      <c r="O29" s="233" t="s">
        <v>67</v>
      </c>
      <c r="P29" s="99" t="s">
        <v>24</v>
      </c>
      <c r="Q29" s="228" t="s">
        <v>15</v>
      </c>
      <c r="R29" s="101" t="s">
        <v>15</v>
      </c>
      <c r="S29" s="116" t="s">
        <v>46</v>
      </c>
      <c r="T29" s="80" t="s">
        <v>37</v>
      </c>
    </row>
    <row r="30" spans="2:22" x14ac:dyDescent="0.25">
      <c r="B30" s="118">
        <f>$C$3 + 4</f>
        <v>42994</v>
      </c>
      <c r="C30" s="96"/>
      <c r="D30" s="219" t="s">
        <v>67</v>
      </c>
      <c r="E30" s="110" t="s">
        <v>22</v>
      </c>
      <c r="F30" s="111" t="s">
        <v>15</v>
      </c>
      <c r="G30" s="112" t="s">
        <v>15</v>
      </c>
      <c r="H30" s="113" t="s">
        <v>47</v>
      </c>
      <c r="I30" s="154"/>
      <c r="J30" s="157"/>
      <c r="K30" s="160"/>
      <c r="M30" s="118">
        <f>C$3 + 5</f>
        <v>42995</v>
      </c>
      <c r="N30" s="96"/>
      <c r="O30" s="234" t="s">
        <v>67</v>
      </c>
      <c r="P30" s="110" t="s">
        <v>24</v>
      </c>
      <c r="Q30" s="229" t="s">
        <v>15</v>
      </c>
      <c r="R30" s="119" t="s">
        <v>15</v>
      </c>
      <c r="S30" s="120" t="s">
        <v>46</v>
      </c>
      <c r="T30" s="80" t="s">
        <v>37</v>
      </c>
    </row>
    <row r="31" spans="2:22" ht="16.5" thickBot="1" x14ac:dyDescent="0.3">
      <c r="B31" s="121">
        <f>$C$3 + 4</f>
        <v>42994</v>
      </c>
      <c r="C31" s="131"/>
      <c r="D31" s="223" t="s">
        <v>67</v>
      </c>
      <c r="E31" s="123" t="s">
        <v>22</v>
      </c>
      <c r="F31" s="124" t="s">
        <v>15</v>
      </c>
      <c r="G31" s="125" t="s">
        <v>15</v>
      </c>
      <c r="H31" s="126" t="s">
        <v>47</v>
      </c>
      <c r="I31" s="155"/>
      <c r="J31" s="158"/>
      <c r="K31" s="161"/>
      <c r="M31" s="118">
        <f>C$3 + 5</f>
        <v>42995</v>
      </c>
      <c r="N31" s="96"/>
      <c r="O31" s="234" t="s">
        <v>67</v>
      </c>
      <c r="P31" s="110" t="s">
        <v>25</v>
      </c>
      <c r="Q31" s="229" t="s">
        <v>15</v>
      </c>
      <c r="R31" s="119" t="s">
        <v>15</v>
      </c>
      <c r="S31" s="120" t="s">
        <v>46</v>
      </c>
      <c r="T31" s="80" t="s">
        <v>37</v>
      </c>
    </row>
    <row r="32" spans="2:22" ht="16.5" thickBot="1" x14ac:dyDescent="0.3">
      <c r="B32" s="97">
        <f>$C$3 + 5</f>
        <v>42995</v>
      </c>
      <c r="C32" s="114"/>
      <c r="D32" s="221" t="s">
        <v>67</v>
      </c>
      <c r="E32" s="99" t="s">
        <v>22</v>
      </c>
      <c r="F32" s="100" t="s">
        <v>15</v>
      </c>
      <c r="G32" s="101" t="s">
        <v>15</v>
      </c>
      <c r="H32" s="102" t="s">
        <v>47</v>
      </c>
      <c r="I32" s="153">
        <f>SUM(C32:C36)</f>
        <v>0</v>
      </c>
      <c r="J32" s="156">
        <f>$V$6-I32</f>
        <v>85</v>
      </c>
      <c r="K32" s="159">
        <f>($V$6-I32)+K27</f>
        <v>270.13</v>
      </c>
      <c r="M32" s="130">
        <f>C$3 + 5</f>
        <v>42995</v>
      </c>
      <c r="N32" s="131"/>
      <c r="O32" s="235" t="s">
        <v>67</v>
      </c>
      <c r="P32" s="123" t="s">
        <v>24</v>
      </c>
      <c r="Q32" s="230" t="s">
        <v>15</v>
      </c>
      <c r="R32" s="133" t="s">
        <v>15</v>
      </c>
      <c r="S32" s="134" t="s">
        <v>46</v>
      </c>
      <c r="T32" s="80" t="s">
        <v>37</v>
      </c>
    </row>
    <row r="33" spans="2:20" x14ac:dyDescent="0.25">
      <c r="B33" s="118">
        <f>$C$3 + 5</f>
        <v>42995</v>
      </c>
      <c r="C33" s="96"/>
      <c r="D33" s="219" t="s">
        <v>67</v>
      </c>
      <c r="E33" s="110" t="s">
        <v>22</v>
      </c>
      <c r="F33" s="111" t="s">
        <v>15</v>
      </c>
      <c r="G33" s="112" t="s">
        <v>15</v>
      </c>
      <c r="H33" s="113" t="s">
        <v>47</v>
      </c>
      <c r="I33" s="154"/>
      <c r="J33" s="157"/>
      <c r="K33" s="160"/>
      <c r="M33" s="97">
        <f>C$3 + 6</f>
        <v>42996</v>
      </c>
      <c r="N33" s="114"/>
      <c r="O33" s="233" t="s">
        <v>67</v>
      </c>
      <c r="P33" s="99" t="s">
        <v>24</v>
      </c>
      <c r="Q33" s="228" t="s">
        <v>15</v>
      </c>
      <c r="R33" s="101" t="s">
        <v>15</v>
      </c>
      <c r="S33" s="116" t="s">
        <v>46</v>
      </c>
      <c r="T33" s="80" t="s">
        <v>37</v>
      </c>
    </row>
    <row r="34" spans="2:20" x14ac:dyDescent="0.25">
      <c r="B34" s="118">
        <f>$C$3 + 5</f>
        <v>42995</v>
      </c>
      <c r="C34" s="96"/>
      <c r="D34" s="219" t="s">
        <v>67</v>
      </c>
      <c r="E34" s="110" t="s">
        <v>22</v>
      </c>
      <c r="F34" s="111" t="s">
        <v>15</v>
      </c>
      <c r="G34" s="112" t="s">
        <v>15</v>
      </c>
      <c r="H34" s="113" t="s">
        <v>47</v>
      </c>
      <c r="I34" s="154"/>
      <c r="J34" s="157"/>
      <c r="K34" s="160"/>
      <c r="M34" s="118">
        <f>C$3 + 6</f>
        <v>42996</v>
      </c>
      <c r="N34" s="96"/>
      <c r="O34" s="234" t="s">
        <v>67</v>
      </c>
      <c r="P34" s="110" t="s">
        <v>24</v>
      </c>
      <c r="Q34" s="229" t="s">
        <v>15</v>
      </c>
      <c r="R34" s="119" t="s">
        <v>15</v>
      </c>
      <c r="S34" s="120" t="s">
        <v>46</v>
      </c>
      <c r="T34" s="80" t="s">
        <v>37</v>
      </c>
    </row>
    <row r="35" spans="2:20" x14ac:dyDescent="0.25">
      <c r="B35" s="118">
        <f>$C$3 + 5</f>
        <v>42995</v>
      </c>
      <c r="C35" s="96"/>
      <c r="D35" s="219" t="s">
        <v>67</v>
      </c>
      <c r="E35" s="110" t="s">
        <v>22</v>
      </c>
      <c r="F35" s="111" t="s">
        <v>15</v>
      </c>
      <c r="G35" s="112" t="s">
        <v>15</v>
      </c>
      <c r="H35" s="113" t="s">
        <v>47</v>
      </c>
      <c r="I35" s="154"/>
      <c r="J35" s="157"/>
      <c r="K35" s="160"/>
      <c r="M35" s="118">
        <f>C$3 + 6</f>
        <v>42996</v>
      </c>
      <c r="N35" s="96"/>
      <c r="O35" s="234" t="s">
        <v>67</v>
      </c>
      <c r="P35" s="110" t="s">
        <v>24</v>
      </c>
      <c r="Q35" s="229" t="s">
        <v>15</v>
      </c>
      <c r="R35" s="119" t="s">
        <v>15</v>
      </c>
      <c r="S35" s="120" t="s">
        <v>46</v>
      </c>
      <c r="T35" s="80" t="s">
        <v>37</v>
      </c>
    </row>
    <row r="36" spans="2:20" ht="16.5" thickBot="1" x14ac:dyDescent="0.3">
      <c r="B36" s="118">
        <f>$C$3 + 5</f>
        <v>42995</v>
      </c>
      <c r="C36" s="131"/>
      <c r="D36" s="223" t="s">
        <v>67</v>
      </c>
      <c r="E36" s="123" t="s">
        <v>22</v>
      </c>
      <c r="F36" s="124" t="s">
        <v>15</v>
      </c>
      <c r="G36" s="125" t="s">
        <v>15</v>
      </c>
      <c r="H36" s="126" t="s">
        <v>47</v>
      </c>
      <c r="I36" s="155"/>
      <c r="J36" s="158"/>
      <c r="K36" s="161"/>
      <c r="M36" s="130">
        <f>C$3 + 6</f>
        <v>42996</v>
      </c>
      <c r="N36" s="131"/>
      <c r="O36" s="235" t="s">
        <v>67</v>
      </c>
      <c r="P36" s="123" t="s">
        <v>24</v>
      </c>
      <c r="Q36" s="230" t="s">
        <v>15</v>
      </c>
      <c r="R36" s="133" t="s">
        <v>15</v>
      </c>
      <c r="S36" s="134" t="s">
        <v>46</v>
      </c>
      <c r="T36" s="80" t="s">
        <v>37</v>
      </c>
    </row>
    <row r="37" spans="2:20" x14ac:dyDescent="0.25">
      <c r="B37" s="97">
        <f>$C$3 + 6</f>
        <v>42996</v>
      </c>
      <c r="C37" s="114"/>
      <c r="D37" s="221" t="s">
        <v>67</v>
      </c>
      <c r="E37" s="99" t="s">
        <v>22</v>
      </c>
      <c r="F37" s="100" t="s">
        <v>15</v>
      </c>
      <c r="G37" s="101" t="s">
        <v>15</v>
      </c>
      <c r="H37" s="102" t="s">
        <v>47</v>
      </c>
      <c r="I37" s="153">
        <f>SUM(C37:C41)</f>
        <v>0</v>
      </c>
      <c r="J37" s="156">
        <f>$V$6-I37</f>
        <v>85</v>
      </c>
      <c r="K37" s="159">
        <f>($V$6-I37)+K32</f>
        <v>355.13</v>
      </c>
      <c r="M37" s="97">
        <f>C$3 + 7</f>
        <v>42997</v>
      </c>
      <c r="N37" s="114"/>
      <c r="O37" s="233" t="s">
        <v>67</v>
      </c>
      <c r="P37" s="99" t="s">
        <v>25</v>
      </c>
      <c r="Q37" s="228" t="s">
        <v>15</v>
      </c>
      <c r="R37" s="101" t="s">
        <v>15</v>
      </c>
      <c r="S37" s="116" t="s">
        <v>46</v>
      </c>
      <c r="T37" s="80" t="s">
        <v>37</v>
      </c>
    </row>
    <row r="38" spans="2:20" x14ac:dyDescent="0.25">
      <c r="B38" s="118">
        <f>$C$3 + 6</f>
        <v>42996</v>
      </c>
      <c r="C38" s="96"/>
      <c r="D38" s="219" t="s">
        <v>67</v>
      </c>
      <c r="E38" s="110" t="s">
        <v>22</v>
      </c>
      <c r="F38" s="111" t="s">
        <v>15</v>
      </c>
      <c r="G38" s="112" t="s">
        <v>15</v>
      </c>
      <c r="H38" s="113" t="s">
        <v>47</v>
      </c>
      <c r="I38" s="154"/>
      <c r="J38" s="157"/>
      <c r="K38" s="160"/>
      <c r="M38" s="118">
        <f>C$3 + 7</f>
        <v>42997</v>
      </c>
      <c r="N38" s="96"/>
      <c r="O38" s="234" t="s">
        <v>67</v>
      </c>
      <c r="P38" s="110" t="s">
        <v>24</v>
      </c>
      <c r="Q38" s="229" t="s">
        <v>15</v>
      </c>
      <c r="R38" s="119" t="s">
        <v>15</v>
      </c>
      <c r="S38" s="120" t="s">
        <v>46</v>
      </c>
      <c r="T38" s="80" t="s">
        <v>37</v>
      </c>
    </row>
    <row r="39" spans="2:20" x14ac:dyDescent="0.25">
      <c r="B39" s="118">
        <f>$C$3 + 6</f>
        <v>42996</v>
      </c>
      <c r="C39" s="96"/>
      <c r="D39" s="219" t="s">
        <v>67</v>
      </c>
      <c r="E39" s="110" t="s">
        <v>22</v>
      </c>
      <c r="F39" s="111" t="s">
        <v>15</v>
      </c>
      <c r="G39" s="112" t="s">
        <v>15</v>
      </c>
      <c r="H39" s="113" t="s">
        <v>47</v>
      </c>
      <c r="I39" s="154"/>
      <c r="J39" s="157"/>
      <c r="K39" s="160"/>
      <c r="M39" s="118">
        <f>C$3 + 7</f>
        <v>42997</v>
      </c>
      <c r="N39" s="96"/>
      <c r="O39" s="234" t="s">
        <v>67</v>
      </c>
      <c r="P39" s="110" t="s">
        <v>24</v>
      </c>
      <c r="Q39" s="229" t="s">
        <v>15</v>
      </c>
      <c r="R39" s="119" t="s">
        <v>15</v>
      </c>
      <c r="S39" s="120" t="s">
        <v>46</v>
      </c>
      <c r="T39" s="80" t="s">
        <v>37</v>
      </c>
    </row>
    <row r="40" spans="2:20" ht="16.5" thickBot="1" x14ac:dyDescent="0.3">
      <c r="B40" s="118">
        <f>$C$3 + 6</f>
        <v>42996</v>
      </c>
      <c r="C40" s="96"/>
      <c r="D40" s="219" t="s">
        <v>67</v>
      </c>
      <c r="E40" s="110" t="s">
        <v>22</v>
      </c>
      <c r="F40" s="111" t="s">
        <v>15</v>
      </c>
      <c r="G40" s="112" t="s">
        <v>15</v>
      </c>
      <c r="H40" s="113" t="s">
        <v>47</v>
      </c>
      <c r="I40" s="154"/>
      <c r="J40" s="157"/>
      <c r="K40" s="160"/>
      <c r="M40" s="130">
        <f>C$3 + 7</f>
        <v>42997</v>
      </c>
      <c r="N40" s="131"/>
      <c r="O40" s="235" t="s">
        <v>67</v>
      </c>
      <c r="P40" s="123" t="s">
        <v>25</v>
      </c>
      <c r="Q40" s="230" t="s">
        <v>15</v>
      </c>
      <c r="R40" s="133" t="s">
        <v>15</v>
      </c>
      <c r="S40" s="134" t="s">
        <v>46</v>
      </c>
      <c r="T40" s="80" t="s">
        <v>37</v>
      </c>
    </row>
    <row r="41" spans="2:20" ht="16.5" thickBot="1" x14ac:dyDescent="0.3">
      <c r="B41" s="118">
        <f>$C$3 + 6</f>
        <v>42996</v>
      </c>
      <c r="C41" s="131"/>
      <c r="D41" s="223" t="s">
        <v>67</v>
      </c>
      <c r="E41" s="123" t="s">
        <v>22</v>
      </c>
      <c r="F41" s="124" t="s">
        <v>15</v>
      </c>
      <c r="G41" s="125" t="s">
        <v>15</v>
      </c>
      <c r="H41" s="126" t="s">
        <v>47</v>
      </c>
      <c r="I41" s="155"/>
      <c r="J41" s="158"/>
      <c r="K41" s="161"/>
      <c r="M41" s="97">
        <f>C$3 + 8</f>
        <v>42998</v>
      </c>
      <c r="N41" s="114"/>
      <c r="O41" s="233" t="s">
        <v>67</v>
      </c>
      <c r="P41" s="99" t="s">
        <v>24</v>
      </c>
      <c r="Q41" s="228" t="s">
        <v>15</v>
      </c>
      <c r="R41" s="101" t="s">
        <v>15</v>
      </c>
      <c r="S41" s="116" t="s">
        <v>46</v>
      </c>
      <c r="T41" s="80" t="s">
        <v>37</v>
      </c>
    </row>
    <row r="42" spans="2:20" x14ac:dyDescent="0.25">
      <c r="B42" s="97">
        <f>$C$3 + 7</f>
        <v>42997</v>
      </c>
      <c r="C42" s="114"/>
      <c r="D42" s="221" t="s">
        <v>67</v>
      </c>
      <c r="E42" s="99" t="s">
        <v>22</v>
      </c>
      <c r="F42" s="100" t="s">
        <v>15</v>
      </c>
      <c r="G42" s="101" t="s">
        <v>15</v>
      </c>
      <c r="H42" s="102" t="s">
        <v>47</v>
      </c>
      <c r="I42" s="153">
        <f>SUM(C42:C46)</f>
        <v>0</v>
      </c>
      <c r="J42" s="156">
        <f>$V$6-I42</f>
        <v>85</v>
      </c>
      <c r="K42" s="159">
        <f>($V$6-I42)+K37</f>
        <v>440.13</v>
      </c>
      <c r="M42" s="118">
        <f>C$3 + 8</f>
        <v>42998</v>
      </c>
      <c r="N42" s="96"/>
      <c r="O42" s="234" t="s">
        <v>67</v>
      </c>
      <c r="P42" s="110" t="s">
        <v>24</v>
      </c>
      <c r="Q42" s="229" t="s">
        <v>15</v>
      </c>
      <c r="R42" s="119" t="s">
        <v>15</v>
      </c>
      <c r="S42" s="120" t="s">
        <v>46</v>
      </c>
      <c r="T42" s="80" t="s">
        <v>37</v>
      </c>
    </row>
    <row r="43" spans="2:20" x14ac:dyDescent="0.25">
      <c r="B43" s="118">
        <f>$C$3 + 7</f>
        <v>42997</v>
      </c>
      <c r="C43" s="96"/>
      <c r="D43" s="219" t="s">
        <v>67</v>
      </c>
      <c r="E43" s="110" t="s">
        <v>22</v>
      </c>
      <c r="F43" s="111" t="s">
        <v>15</v>
      </c>
      <c r="G43" s="112" t="s">
        <v>15</v>
      </c>
      <c r="H43" s="113" t="s">
        <v>47</v>
      </c>
      <c r="I43" s="154"/>
      <c r="J43" s="157"/>
      <c r="K43" s="160"/>
      <c r="M43" s="118">
        <f>C$3 + 8</f>
        <v>42998</v>
      </c>
      <c r="N43" s="96"/>
      <c r="O43" s="234" t="s">
        <v>67</v>
      </c>
      <c r="P43" s="110" t="s">
        <v>25</v>
      </c>
      <c r="Q43" s="229" t="s">
        <v>15</v>
      </c>
      <c r="R43" s="119" t="s">
        <v>15</v>
      </c>
      <c r="S43" s="120" t="s">
        <v>46</v>
      </c>
      <c r="T43" s="80" t="s">
        <v>37</v>
      </c>
    </row>
    <row r="44" spans="2:20" ht="16.5" thickBot="1" x14ac:dyDescent="0.3">
      <c r="B44" s="118">
        <f>$C$3 + 7</f>
        <v>42997</v>
      </c>
      <c r="C44" s="96"/>
      <c r="D44" s="219" t="s">
        <v>67</v>
      </c>
      <c r="E44" s="110" t="s">
        <v>22</v>
      </c>
      <c r="F44" s="111" t="s">
        <v>15</v>
      </c>
      <c r="G44" s="112" t="s">
        <v>15</v>
      </c>
      <c r="H44" s="113" t="s">
        <v>47</v>
      </c>
      <c r="I44" s="154"/>
      <c r="J44" s="157"/>
      <c r="K44" s="160"/>
      <c r="M44" s="130">
        <f>C$3 + 8</f>
        <v>42998</v>
      </c>
      <c r="N44" s="131"/>
      <c r="O44" s="235" t="s">
        <v>67</v>
      </c>
      <c r="P44" s="123" t="s">
        <v>24</v>
      </c>
      <c r="Q44" s="230" t="s">
        <v>15</v>
      </c>
      <c r="R44" s="133" t="s">
        <v>15</v>
      </c>
      <c r="S44" s="134" t="s">
        <v>46</v>
      </c>
      <c r="T44" s="80" t="s">
        <v>37</v>
      </c>
    </row>
    <row r="45" spans="2:20" x14ac:dyDescent="0.25">
      <c r="B45" s="118">
        <f>$C$3 + 7</f>
        <v>42997</v>
      </c>
      <c r="C45" s="96"/>
      <c r="D45" s="219" t="s">
        <v>67</v>
      </c>
      <c r="E45" s="110" t="s">
        <v>22</v>
      </c>
      <c r="F45" s="111" t="s">
        <v>15</v>
      </c>
      <c r="G45" s="112" t="s">
        <v>15</v>
      </c>
      <c r="H45" s="113" t="s">
        <v>47</v>
      </c>
      <c r="I45" s="154"/>
      <c r="J45" s="157"/>
      <c r="K45" s="160"/>
      <c r="M45" s="97">
        <f>C$3 + 9</f>
        <v>42999</v>
      </c>
      <c r="N45" s="114"/>
      <c r="O45" s="233" t="s">
        <v>67</v>
      </c>
      <c r="P45" s="99" t="s">
        <v>24</v>
      </c>
      <c r="Q45" s="228" t="s">
        <v>15</v>
      </c>
      <c r="R45" s="101" t="s">
        <v>15</v>
      </c>
      <c r="S45" s="116" t="s">
        <v>46</v>
      </c>
      <c r="T45" s="80" t="s">
        <v>37</v>
      </c>
    </row>
    <row r="46" spans="2:20" ht="16.5" thickBot="1" x14ac:dyDescent="0.3">
      <c r="B46" s="118">
        <f>$C$3 + 7</f>
        <v>42997</v>
      </c>
      <c r="C46" s="131"/>
      <c r="D46" s="223" t="s">
        <v>67</v>
      </c>
      <c r="E46" s="123" t="s">
        <v>22</v>
      </c>
      <c r="F46" s="124" t="s">
        <v>15</v>
      </c>
      <c r="G46" s="125" t="s">
        <v>15</v>
      </c>
      <c r="H46" s="126" t="s">
        <v>47</v>
      </c>
      <c r="I46" s="155"/>
      <c r="J46" s="158"/>
      <c r="K46" s="161"/>
      <c r="M46" s="118">
        <f>C$3 + 9</f>
        <v>42999</v>
      </c>
      <c r="N46" s="96"/>
      <c r="O46" s="234" t="s">
        <v>67</v>
      </c>
      <c r="P46" s="110" t="s">
        <v>24</v>
      </c>
      <c r="Q46" s="229" t="s">
        <v>15</v>
      </c>
      <c r="R46" s="119" t="s">
        <v>15</v>
      </c>
      <c r="S46" s="120" t="s">
        <v>46</v>
      </c>
      <c r="T46" s="80" t="s">
        <v>37</v>
      </c>
    </row>
    <row r="47" spans="2:20" x14ac:dyDescent="0.25">
      <c r="B47" s="97">
        <f>$C$3 + 8</f>
        <v>42998</v>
      </c>
      <c r="C47" s="114"/>
      <c r="D47" s="221" t="s">
        <v>67</v>
      </c>
      <c r="E47" s="99" t="s">
        <v>22</v>
      </c>
      <c r="F47" s="100" t="s">
        <v>15</v>
      </c>
      <c r="G47" s="101" t="s">
        <v>15</v>
      </c>
      <c r="H47" s="102" t="s">
        <v>47</v>
      </c>
      <c r="I47" s="153">
        <f>SUM(C47:C51)</f>
        <v>0</v>
      </c>
      <c r="J47" s="156">
        <f>$V$6-I47</f>
        <v>85</v>
      </c>
      <c r="K47" s="159">
        <f>($V$6-I47)+K42</f>
        <v>525.13</v>
      </c>
      <c r="M47" s="118">
        <f>C$3 + 9</f>
        <v>42999</v>
      </c>
      <c r="N47" s="96"/>
      <c r="O47" s="234" t="s">
        <v>67</v>
      </c>
      <c r="P47" s="110" t="s">
        <v>24</v>
      </c>
      <c r="Q47" s="229" t="s">
        <v>15</v>
      </c>
      <c r="R47" s="119" t="s">
        <v>15</v>
      </c>
      <c r="S47" s="120" t="s">
        <v>46</v>
      </c>
      <c r="T47" s="80" t="s">
        <v>37</v>
      </c>
    </row>
    <row r="48" spans="2:20" ht="16.5" thickBot="1" x14ac:dyDescent="0.3">
      <c r="B48" s="118">
        <f>$C$3 + 8</f>
        <v>42998</v>
      </c>
      <c r="C48" s="96"/>
      <c r="D48" s="219" t="s">
        <v>67</v>
      </c>
      <c r="E48" s="110" t="s">
        <v>22</v>
      </c>
      <c r="F48" s="111" t="s">
        <v>15</v>
      </c>
      <c r="G48" s="112" t="s">
        <v>15</v>
      </c>
      <c r="H48" s="113" t="s">
        <v>47</v>
      </c>
      <c r="I48" s="154"/>
      <c r="J48" s="157"/>
      <c r="K48" s="160"/>
      <c r="M48" s="130">
        <f>C$3 + 9</f>
        <v>42999</v>
      </c>
      <c r="N48" s="131"/>
      <c r="O48" s="235" t="s">
        <v>67</v>
      </c>
      <c r="P48" s="123" t="s">
        <v>24</v>
      </c>
      <c r="Q48" s="230" t="s">
        <v>15</v>
      </c>
      <c r="R48" s="133" t="s">
        <v>15</v>
      </c>
      <c r="S48" s="134" t="s">
        <v>46</v>
      </c>
      <c r="T48" s="80" t="s">
        <v>37</v>
      </c>
    </row>
    <row r="49" spans="2:20" x14ac:dyDescent="0.25">
      <c r="B49" s="118">
        <f>$C$3 + 8</f>
        <v>42998</v>
      </c>
      <c r="C49" s="96"/>
      <c r="D49" s="219" t="s">
        <v>67</v>
      </c>
      <c r="E49" s="110" t="s">
        <v>22</v>
      </c>
      <c r="F49" s="111" t="s">
        <v>15</v>
      </c>
      <c r="G49" s="112" t="s">
        <v>15</v>
      </c>
      <c r="H49" s="113" t="s">
        <v>47</v>
      </c>
      <c r="I49" s="154"/>
      <c r="J49" s="157"/>
      <c r="K49" s="160"/>
      <c r="M49" s="97">
        <f>C$3 + 10</f>
        <v>43000</v>
      </c>
      <c r="N49" s="114"/>
      <c r="O49" s="233" t="s">
        <v>67</v>
      </c>
      <c r="P49" s="99" t="s">
        <v>24</v>
      </c>
      <c r="Q49" s="228" t="s">
        <v>15</v>
      </c>
      <c r="R49" s="101" t="s">
        <v>15</v>
      </c>
      <c r="S49" s="116" t="s">
        <v>46</v>
      </c>
      <c r="T49" s="80" t="s">
        <v>37</v>
      </c>
    </row>
    <row r="50" spans="2:20" x14ac:dyDescent="0.25">
      <c r="B50" s="118">
        <f>$C$3 + 8</f>
        <v>42998</v>
      </c>
      <c r="C50" s="96"/>
      <c r="D50" s="219" t="s">
        <v>67</v>
      </c>
      <c r="E50" s="110" t="s">
        <v>22</v>
      </c>
      <c r="F50" s="111" t="s">
        <v>15</v>
      </c>
      <c r="G50" s="112" t="s">
        <v>15</v>
      </c>
      <c r="H50" s="113" t="s">
        <v>47</v>
      </c>
      <c r="I50" s="154"/>
      <c r="J50" s="157"/>
      <c r="K50" s="160"/>
      <c r="M50" s="118">
        <f>C$3 + 10</f>
        <v>43000</v>
      </c>
      <c r="N50" s="96"/>
      <c r="O50" s="234" t="s">
        <v>67</v>
      </c>
      <c r="P50" s="110" t="s">
        <v>24</v>
      </c>
      <c r="Q50" s="229" t="s">
        <v>15</v>
      </c>
      <c r="R50" s="119" t="s">
        <v>15</v>
      </c>
      <c r="S50" s="120" t="s">
        <v>46</v>
      </c>
      <c r="T50" s="80" t="s">
        <v>37</v>
      </c>
    </row>
    <row r="51" spans="2:20" ht="16.5" thickBot="1" x14ac:dyDescent="0.3">
      <c r="B51" s="118">
        <f>$C$3 + 8</f>
        <v>42998</v>
      </c>
      <c r="C51" s="131"/>
      <c r="D51" s="223" t="s">
        <v>67</v>
      </c>
      <c r="E51" s="123" t="s">
        <v>22</v>
      </c>
      <c r="F51" s="124" t="s">
        <v>15</v>
      </c>
      <c r="G51" s="125" t="s">
        <v>15</v>
      </c>
      <c r="H51" s="126" t="s">
        <v>47</v>
      </c>
      <c r="I51" s="155"/>
      <c r="J51" s="158"/>
      <c r="K51" s="161"/>
      <c r="M51" s="118">
        <f>C$3 + 10</f>
        <v>43000</v>
      </c>
      <c r="N51" s="96"/>
      <c r="O51" s="234" t="s">
        <v>67</v>
      </c>
      <c r="P51" s="110" t="s">
        <v>24</v>
      </c>
      <c r="Q51" s="229" t="s">
        <v>15</v>
      </c>
      <c r="R51" s="119" t="s">
        <v>15</v>
      </c>
      <c r="S51" s="120" t="s">
        <v>46</v>
      </c>
      <c r="T51" s="80" t="s">
        <v>37</v>
      </c>
    </row>
    <row r="52" spans="2:20" ht="16.5" thickBot="1" x14ac:dyDescent="0.3">
      <c r="B52" s="97">
        <f>$C$3 + 9</f>
        <v>42999</v>
      </c>
      <c r="C52" s="114"/>
      <c r="D52" s="221" t="s">
        <v>67</v>
      </c>
      <c r="E52" s="99" t="s">
        <v>22</v>
      </c>
      <c r="F52" s="100" t="s">
        <v>15</v>
      </c>
      <c r="G52" s="101" t="s">
        <v>15</v>
      </c>
      <c r="H52" s="102" t="s">
        <v>47</v>
      </c>
      <c r="I52" s="153">
        <f>SUM(C52:C56)</f>
        <v>0</v>
      </c>
      <c r="J52" s="156">
        <f>$V$6-I52</f>
        <v>85</v>
      </c>
      <c r="K52" s="159">
        <f>($V$6-I52)+K47</f>
        <v>610.13</v>
      </c>
      <c r="M52" s="130">
        <f>C$3 + 10</f>
        <v>43000</v>
      </c>
      <c r="N52" s="131"/>
      <c r="O52" s="235" t="s">
        <v>67</v>
      </c>
      <c r="P52" s="123" t="s">
        <v>24</v>
      </c>
      <c r="Q52" s="230" t="s">
        <v>15</v>
      </c>
      <c r="R52" s="133" t="s">
        <v>15</v>
      </c>
      <c r="S52" s="134" t="s">
        <v>46</v>
      </c>
      <c r="T52" s="80" t="s">
        <v>37</v>
      </c>
    </row>
    <row r="53" spans="2:20" x14ac:dyDescent="0.25">
      <c r="B53" s="118">
        <f>$C$3 + 9</f>
        <v>42999</v>
      </c>
      <c r="C53" s="96"/>
      <c r="D53" s="219" t="s">
        <v>67</v>
      </c>
      <c r="E53" s="110" t="s">
        <v>22</v>
      </c>
      <c r="F53" s="111" t="s">
        <v>15</v>
      </c>
      <c r="G53" s="112" t="s">
        <v>15</v>
      </c>
      <c r="H53" s="113" t="s">
        <v>47</v>
      </c>
      <c r="I53" s="154"/>
      <c r="J53" s="157"/>
      <c r="K53" s="160"/>
      <c r="M53" s="108">
        <f>C$3 + 11</f>
        <v>43001</v>
      </c>
      <c r="N53" s="139"/>
      <c r="O53" s="237" t="s">
        <v>67</v>
      </c>
      <c r="P53" s="239" t="s">
        <v>24</v>
      </c>
      <c r="Q53" s="231" t="s">
        <v>15</v>
      </c>
      <c r="R53" s="112" t="s">
        <v>15</v>
      </c>
      <c r="S53" s="141" t="s">
        <v>46</v>
      </c>
      <c r="T53" s="80" t="s">
        <v>37</v>
      </c>
    </row>
    <row r="54" spans="2:20" x14ac:dyDescent="0.25">
      <c r="B54" s="118">
        <f>$C$3 + 9</f>
        <v>42999</v>
      </c>
      <c r="C54" s="96"/>
      <c r="D54" s="219" t="s">
        <v>67</v>
      </c>
      <c r="E54" s="110" t="s">
        <v>22</v>
      </c>
      <c r="F54" s="111" t="s">
        <v>15</v>
      </c>
      <c r="G54" s="112" t="s">
        <v>15</v>
      </c>
      <c r="H54" s="113" t="s">
        <v>47</v>
      </c>
      <c r="I54" s="154"/>
      <c r="J54" s="157"/>
      <c r="K54" s="160"/>
      <c r="M54" s="118">
        <f>C$3 + 11</f>
        <v>43001</v>
      </c>
      <c r="N54" s="96"/>
      <c r="O54" s="234" t="s">
        <v>67</v>
      </c>
      <c r="P54" s="110" t="s">
        <v>24</v>
      </c>
      <c r="Q54" s="229" t="s">
        <v>15</v>
      </c>
      <c r="R54" s="119" t="s">
        <v>15</v>
      </c>
      <c r="S54" s="120" t="s">
        <v>46</v>
      </c>
      <c r="T54" s="80" t="s">
        <v>37</v>
      </c>
    </row>
    <row r="55" spans="2:20" x14ac:dyDescent="0.25">
      <c r="B55" s="118">
        <f>$C$3 + 9</f>
        <v>42999</v>
      </c>
      <c r="C55" s="96"/>
      <c r="D55" s="219" t="s">
        <v>67</v>
      </c>
      <c r="E55" s="110" t="s">
        <v>22</v>
      </c>
      <c r="F55" s="111" t="s">
        <v>15</v>
      </c>
      <c r="G55" s="112" t="s">
        <v>15</v>
      </c>
      <c r="H55" s="113" t="s">
        <v>47</v>
      </c>
      <c r="I55" s="154"/>
      <c r="J55" s="157"/>
      <c r="K55" s="160"/>
      <c r="M55" s="118">
        <f>C$3 + 11</f>
        <v>43001</v>
      </c>
      <c r="N55" s="96"/>
      <c r="O55" s="234" t="s">
        <v>67</v>
      </c>
      <c r="P55" s="110" t="s">
        <v>24</v>
      </c>
      <c r="Q55" s="229" t="s">
        <v>15</v>
      </c>
      <c r="R55" s="119" t="s">
        <v>15</v>
      </c>
      <c r="S55" s="120" t="s">
        <v>46</v>
      </c>
      <c r="T55" s="80" t="s">
        <v>37</v>
      </c>
    </row>
    <row r="56" spans="2:20" ht="16.5" thickBot="1" x14ac:dyDescent="0.3">
      <c r="B56" s="118">
        <f>$C$3 + 9</f>
        <v>42999</v>
      </c>
      <c r="C56" s="131"/>
      <c r="D56" s="223" t="s">
        <v>67</v>
      </c>
      <c r="E56" s="123" t="s">
        <v>22</v>
      </c>
      <c r="F56" s="124" t="s">
        <v>15</v>
      </c>
      <c r="G56" s="125" t="s">
        <v>15</v>
      </c>
      <c r="H56" s="126" t="s">
        <v>47</v>
      </c>
      <c r="I56" s="155"/>
      <c r="J56" s="158"/>
      <c r="K56" s="161"/>
      <c r="M56" s="130">
        <f>C$3 + 11</f>
        <v>43001</v>
      </c>
      <c r="N56" s="131"/>
      <c r="O56" s="235" t="s">
        <v>67</v>
      </c>
      <c r="P56" s="123" t="s">
        <v>24</v>
      </c>
      <c r="Q56" s="230" t="s">
        <v>15</v>
      </c>
      <c r="R56" s="133" t="s">
        <v>15</v>
      </c>
      <c r="S56" s="134" t="s">
        <v>46</v>
      </c>
      <c r="T56" s="80" t="s">
        <v>37</v>
      </c>
    </row>
    <row r="57" spans="2:20" x14ac:dyDescent="0.25">
      <c r="B57" s="97">
        <f>$C$3 + 10</f>
        <v>43000</v>
      </c>
      <c r="C57" s="114"/>
      <c r="D57" s="221" t="s">
        <v>67</v>
      </c>
      <c r="E57" s="99" t="s">
        <v>22</v>
      </c>
      <c r="F57" s="100" t="s">
        <v>15</v>
      </c>
      <c r="G57" s="101" t="s">
        <v>15</v>
      </c>
      <c r="H57" s="102" t="s">
        <v>47</v>
      </c>
      <c r="I57" s="153">
        <f>SUM(C57:C61)</f>
        <v>0</v>
      </c>
      <c r="J57" s="156">
        <f>$V$6-I57</f>
        <v>85</v>
      </c>
      <c r="K57" s="159">
        <f>($V$6-I57)+K52</f>
        <v>695.13</v>
      </c>
    </row>
    <row r="58" spans="2:20" x14ac:dyDescent="0.25">
      <c r="B58" s="118">
        <f>$C$3 + 10</f>
        <v>43000</v>
      </c>
      <c r="C58" s="96"/>
      <c r="D58" s="219" t="s">
        <v>67</v>
      </c>
      <c r="E58" s="110" t="s">
        <v>22</v>
      </c>
      <c r="F58" s="111" t="s">
        <v>15</v>
      </c>
      <c r="G58" s="112" t="s">
        <v>15</v>
      </c>
      <c r="H58" s="113" t="s">
        <v>47</v>
      </c>
      <c r="I58" s="154"/>
      <c r="J58" s="157"/>
      <c r="K58" s="160"/>
    </row>
    <row r="59" spans="2:20" x14ac:dyDescent="0.25">
      <c r="B59" s="118">
        <f>$C$3 + 10</f>
        <v>43000</v>
      </c>
      <c r="C59" s="96"/>
      <c r="D59" s="219" t="s">
        <v>67</v>
      </c>
      <c r="E59" s="110" t="s">
        <v>22</v>
      </c>
      <c r="F59" s="111" t="s">
        <v>15</v>
      </c>
      <c r="G59" s="112" t="s">
        <v>15</v>
      </c>
      <c r="H59" s="113" t="s">
        <v>47</v>
      </c>
      <c r="I59" s="154"/>
      <c r="J59" s="157"/>
      <c r="K59" s="160"/>
    </row>
    <row r="60" spans="2:20" x14ac:dyDescent="0.25">
      <c r="B60" s="118">
        <f>$C$3 + 10</f>
        <v>43000</v>
      </c>
      <c r="C60" s="96"/>
      <c r="D60" s="219" t="s">
        <v>67</v>
      </c>
      <c r="E60" s="110" t="s">
        <v>22</v>
      </c>
      <c r="F60" s="111" t="s">
        <v>15</v>
      </c>
      <c r="G60" s="112" t="s">
        <v>15</v>
      </c>
      <c r="H60" s="113" t="s">
        <v>47</v>
      </c>
      <c r="I60" s="154"/>
      <c r="J60" s="157"/>
      <c r="K60" s="160"/>
    </row>
    <row r="61" spans="2:20" ht="16.5" thickBot="1" x14ac:dyDescent="0.3">
      <c r="B61" s="118">
        <f>$C$3 + 10</f>
        <v>43000</v>
      </c>
      <c r="C61" s="131"/>
      <c r="D61" s="223" t="s">
        <v>67</v>
      </c>
      <c r="E61" s="123" t="s">
        <v>22</v>
      </c>
      <c r="F61" s="124" t="s">
        <v>15</v>
      </c>
      <c r="G61" s="125" t="s">
        <v>15</v>
      </c>
      <c r="H61" s="126" t="s">
        <v>47</v>
      </c>
      <c r="I61" s="155"/>
      <c r="J61" s="158"/>
      <c r="K61" s="161"/>
    </row>
    <row r="62" spans="2:20" x14ac:dyDescent="0.25">
      <c r="B62" s="97">
        <f>$C$3 + 11</f>
        <v>43001</v>
      </c>
      <c r="C62" s="114"/>
      <c r="D62" s="221" t="s">
        <v>67</v>
      </c>
      <c r="E62" s="99" t="s">
        <v>22</v>
      </c>
      <c r="F62" s="100" t="s">
        <v>15</v>
      </c>
      <c r="G62" s="101" t="s">
        <v>15</v>
      </c>
      <c r="H62" s="102" t="s">
        <v>47</v>
      </c>
      <c r="I62" s="153">
        <f>SUM(C62:C66)</f>
        <v>0</v>
      </c>
      <c r="J62" s="156">
        <f>$V$6-I62</f>
        <v>85</v>
      </c>
      <c r="K62" s="159">
        <f>($V$6-I62)+K57</f>
        <v>780.13</v>
      </c>
    </row>
    <row r="63" spans="2:20" x14ac:dyDescent="0.25">
      <c r="B63" s="118">
        <f>$C$3 + 11</f>
        <v>43001</v>
      </c>
      <c r="C63" s="96"/>
      <c r="D63" s="219" t="s">
        <v>67</v>
      </c>
      <c r="E63" s="110" t="s">
        <v>22</v>
      </c>
      <c r="F63" s="111" t="s">
        <v>15</v>
      </c>
      <c r="G63" s="112" t="s">
        <v>15</v>
      </c>
      <c r="H63" s="113" t="s">
        <v>47</v>
      </c>
      <c r="I63" s="154"/>
      <c r="J63" s="157"/>
      <c r="K63" s="160"/>
    </row>
    <row r="64" spans="2:20" x14ac:dyDescent="0.25">
      <c r="B64" s="118">
        <f>$C$3 + 11</f>
        <v>43001</v>
      </c>
      <c r="C64" s="96"/>
      <c r="D64" s="219" t="s">
        <v>67</v>
      </c>
      <c r="E64" s="110" t="s">
        <v>22</v>
      </c>
      <c r="F64" s="111" t="s">
        <v>15</v>
      </c>
      <c r="G64" s="112" t="s">
        <v>15</v>
      </c>
      <c r="H64" s="113" t="s">
        <v>47</v>
      </c>
      <c r="I64" s="154"/>
      <c r="J64" s="157"/>
      <c r="K64" s="160"/>
    </row>
    <row r="65" spans="2:11" x14ac:dyDescent="0.25">
      <c r="B65" s="118">
        <f>$C$3 + 11</f>
        <v>43001</v>
      </c>
      <c r="C65" s="96"/>
      <c r="D65" s="219" t="s">
        <v>67</v>
      </c>
      <c r="E65" s="110" t="s">
        <v>22</v>
      </c>
      <c r="F65" s="111" t="s">
        <v>15</v>
      </c>
      <c r="G65" s="112" t="s">
        <v>15</v>
      </c>
      <c r="H65" s="113" t="s">
        <v>47</v>
      </c>
      <c r="I65" s="154"/>
      <c r="J65" s="157"/>
      <c r="K65" s="160"/>
    </row>
    <row r="66" spans="2:11" ht="16.5" thickBot="1" x14ac:dyDescent="0.3">
      <c r="B66" s="130">
        <f>$C$3 + 11</f>
        <v>43001</v>
      </c>
      <c r="C66" s="131"/>
      <c r="D66" s="223" t="s">
        <v>67</v>
      </c>
      <c r="E66" s="123" t="s">
        <v>22</v>
      </c>
      <c r="F66" s="124" t="s">
        <v>15</v>
      </c>
      <c r="G66" s="125" t="s">
        <v>15</v>
      </c>
      <c r="H66" s="126" t="s">
        <v>47</v>
      </c>
      <c r="I66" s="155"/>
      <c r="J66" s="158"/>
      <c r="K66" s="161"/>
    </row>
  </sheetData>
  <mergeCells count="43">
    <mergeCell ref="I57:I61"/>
    <mergeCell ref="J57:J61"/>
    <mergeCell ref="K57:K61"/>
    <mergeCell ref="I62:I66"/>
    <mergeCell ref="J62:J66"/>
    <mergeCell ref="K62:K66"/>
    <mergeCell ref="I47:I51"/>
    <mergeCell ref="J47:J51"/>
    <mergeCell ref="K47:K51"/>
    <mergeCell ref="I52:I56"/>
    <mergeCell ref="J52:J56"/>
    <mergeCell ref="K52:K56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F2:N2"/>
    <mergeCell ref="U2:V2"/>
    <mergeCell ref="F3:N3"/>
    <mergeCell ref="U3:V3"/>
    <mergeCell ref="F4:N4"/>
    <mergeCell ref="B5:K5"/>
    <mergeCell ref="M5:S5"/>
  </mergeCells>
  <conditionalFormatting sqref="J7:J66 V10">
    <cfRule type="cellIs" dxfId="20" priority="7" stopIfTrue="1" operator="lessThan">
      <formula>0</formula>
    </cfRule>
  </conditionalFormatting>
  <conditionalFormatting sqref="R3">
    <cfRule type="cellIs" dxfId="19" priority="4" operator="greaterThan">
      <formula>0</formula>
    </cfRule>
  </conditionalFormatting>
  <conditionalFormatting sqref="B8:K66 B7:C7 E7:K7">
    <cfRule type="expression" dxfId="18" priority="6" stopIfTrue="1">
      <formula>$B7&gt;$C$3+$V$5-1</formula>
    </cfRule>
  </conditionalFormatting>
  <conditionalFormatting sqref="M7:S56">
    <cfRule type="expression" dxfId="17" priority="5">
      <formula>$M7&gt;$C$3+$V$5-1</formula>
    </cfRule>
  </conditionalFormatting>
  <conditionalFormatting sqref="P3">
    <cfRule type="cellIs" dxfId="16" priority="3" operator="greaterThan">
      <formula>0</formula>
    </cfRule>
  </conditionalFormatting>
  <conditionalFormatting sqref="F4">
    <cfRule type="cellIs" dxfId="15" priority="2" operator="greaterThan">
      <formula>0</formula>
    </cfRule>
  </conditionalFormatting>
  <conditionalFormatting sqref="D7">
    <cfRule type="expression" dxfId="0" priority="1" stopIfTrue="1">
      <formula>$B7&gt;$C$3+$V$5-1</formula>
    </cfRule>
  </conditionalFormatting>
  <dataValidations count="6">
    <dataValidation type="list" allowBlank="1" showInputMessage="1" showErrorMessage="1" sqref="Q3 O7:O56" xr:uid="{A9C80B90-EBB8-4DD3-80B9-3F47D3C5AE05}">
      <formula1>currencies</formula1>
    </dataValidation>
    <dataValidation type="list" allowBlank="1" showInputMessage="1" showErrorMessage="1" sqref="H7:H66 S7:S56" xr:uid="{223D6E89-895B-494B-8822-A1CA1B8E2A31}">
      <formula1>expense_codes</formula1>
    </dataValidation>
    <dataValidation type="list" allowBlank="1" showInputMessage="1" showErrorMessage="1" sqref="P7:P56" xr:uid="{633BBC77-F85D-4E95-884D-E55E1850D744}">
      <formula1>"Taxi,Taxi (uber),Estacionamento,Prints"</formula1>
    </dataValidation>
    <dataValidation type="list" allowBlank="1" showInputMessage="1" showErrorMessage="1" sqref="E7:E66" xr:uid="{813A092D-106F-4604-A87A-6643ED8BE7F3}">
      <formula1>"Refeição,Alimentação Hotel (NF semanal),Jantar de Equipe"</formula1>
    </dataValidation>
    <dataValidation type="list" allowBlank="1" showInputMessage="1" showErrorMessage="1" sqref="F7:G66 Q7:R56" xr:uid="{0046FA14-CB84-4472-81EB-4B21120F930F}">
      <formula1>"Yes,No"</formula1>
    </dataValidation>
    <dataValidation type="list" allowBlank="1" showInputMessage="1" showErrorMessage="1" sqref="D7:D66" xr:uid="{4D59269C-5A36-410A-97F5-745EE7E268DA}">
      <formula1>currencies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15</xdr:row>
                    <xdr:rowOff>152400</xdr:rowOff>
                  </from>
                  <to>
                    <xdr:col>21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18</xdr:row>
                    <xdr:rowOff>95250</xdr:rowOff>
                  </from>
                  <to>
                    <xdr:col>21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4D1D8-9477-49C0-AAEE-87E15AA49EF6}">
  <sheetPr codeName="Sheet21">
    <tabColor rgb="FF92D050"/>
  </sheetPr>
  <dimension ref="B1:U66"/>
  <sheetViews>
    <sheetView zoomScale="90" zoomScaleNormal="90" workbookViewId="0">
      <selection activeCell="G8" sqref="G8"/>
    </sheetView>
  </sheetViews>
  <sheetFormatPr defaultColWidth="11" defaultRowHeight="15.75" outlineLevelCol="1" x14ac:dyDescent="0.25"/>
  <cols>
    <col min="1" max="1" width="1.75" style="80" customWidth="1"/>
    <col min="2" max="2" width="10.125" style="80" customWidth="1"/>
    <col min="3" max="3" width="11" style="80"/>
    <col min="4" max="4" width="22.875" style="80" customWidth="1"/>
    <col min="5" max="5" width="6" style="80" customWidth="1"/>
    <col min="6" max="6" width="8.75" style="80" customWidth="1"/>
    <col min="7" max="7" width="12.25" style="80" hidden="1" customWidth="1" outlineLevel="1"/>
    <col min="8" max="8" width="9.875" style="80" customWidth="1" collapsed="1"/>
    <col min="9" max="9" width="9.875" style="80" customWidth="1"/>
    <col min="10" max="10" width="11.75" style="80" bestFit="1" customWidth="1"/>
    <col min="11" max="11" width="1.75" style="80" customWidth="1"/>
    <col min="12" max="12" width="10.125" style="80" customWidth="1"/>
    <col min="13" max="13" width="11" style="80"/>
    <col min="14" max="14" width="18" style="80" customWidth="1"/>
    <col min="15" max="15" width="7.75" style="80" bestFit="1" customWidth="1"/>
    <col min="16" max="16" width="9.25" style="80" bestFit="1" customWidth="1"/>
    <col min="17" max="17" width="11.75" style="80" hidden="1" customWidth="1" outlineLevel="1"/>
    <col min="18" max="18" width="1.625" style="80" customWidth="1" collapsed="1"/>
    <col min="19" max="19" width="13.375" style="80" customWidth="1"/>
    <col min="20" max="16384" width="11" style="80"/>
  </cols>
  <sheetData>
    <row r="1" spans="2:21" ht="11.25" customHeight="1" x14ac:dyDescent="0.25"/>
    <row r="2" spans="2:21" x14ac:dyDescent="0.25">
      <c r="B2" s="81" t="s">
        <v>0</v>
      </c>
      <c r="C2" s="82" t="s">
        <v>33</v>
      </c>
      <c r="E2" s="162" t="s">
        <v>1</v>
      </c>
      <c r="F2" s="162"/>
      <c r="G2" s="162"/>
      <c r="H2" s="162"/>
      <c r="I2" s="162"/>
      <c r="J2" s="162"/>
      <c r="K2" s="162"/>
      <c r="L2" s="162"/>
      <c r="M2" s="162"/>
      <c r="O2" s="142" t="s">
        <v>64</v>
      </c>
      <c r="P2" s="83" t="s">
        <v>23</v>
      </c>
      <c r="S2" s="162" t="s">
        <v>50</v>
      </c>
      <c r="T2" s="162"/>
      <c r="U2" s="84"/>
    </row>
    <row r="3" spans="2:21" x14ac:dyDescent="0.25">
      <c r="B3" s="81" t="s">
        <v>2</v>
      </c>
      <c r="C3" s="85">
        <v>42990</v>
      </c>
      <c r="E3" s="163" t="str">
        <f>$C$2 &amp;" - "&amp;Config!$D$3 &amp;" - "&amp; Config!$D$4 &amp;" - " &amp;TEXT($C$3,"YYYYMMDD")&amp;" - " &amp;TEXT($C$3+T5-1,"YYYYMMDD")</f>
        <v>2070 - YouCom Expense Sheet - Thiago Weidman - 20170912 - 20170914</v>
      </c>
      <c r="F3" s="163"/>
      <c r="G3" s="163"/>
      <c r="H3" s="163"/>
      <c r="I3" s="163"/>
      <c r="J3" s="163"/>
      <c r="K3" s="163"/>
      <c r="L3" s="163"/>
      <c r="M3" s="163"/>
      <c r="N3" s="86"/>
      <c r="O3" s="148" t="s">
        <v>67</v>
      </c>
      <c r="P3" s="143" t="s">
        <v>74</v>
      </c>
      <c r="S3" s="166" t="s">
        <v>73</v>
      </c>
      <c r="T3" s="167"/>
      <c r="U3" s="87"/>
    </row>
    <row r="4" spans="2:21" x14ac:dyDescent="0.25">
      <c r="B4" s="88"/>
      <c r="C4" s="89"/>
      <c r="D4" s="88"/>
      <c r="E4" s="168"/>
      <c r="F4" s="168"/>
      <c r="G4" s="168"/>
      <c r="H4" s="168"/>
      <c r="I4" s="168"/>
      <c r="J4" s="168"/>
      <c r="K4" s="168"/>
      <c r="L4" s="168"/>
      <c r="M4" s="168"/>
      <c r="N4" s="88"/>
      <c r="O4" s="88"/>
      <c r="P4" s="88"/>
      <c r="Q4" s="88"/>
      <c r="R4" s="88"/>
      <c r="S4" s="88"/>
    </row>
    <row r="5" spans="2:21" x14ac:dyDescent="0.25">
      <c r="B5" s="164" t="s">
        <v>3</v>
      </c>
      <c r="C5" s="164"/>
      <c r="D5" s="164"/>
      <c r="E5" s="164"/>
      <c r="F5" s="164"/>
      <c r="G5" s="164"/>
      <c r="H5" s="164"/>
      <c r="I5" s="164"/>
      <c r="J5" s="164"/>
      <c r="L5" s="165" t="s">
        <v>4</v>
      </c>
      <c r="M5" s="165"/>
      <c r="N5" s="165"/>
      <c r="O5" s="165"/>
      <c r="P5" s="165"/>
      <c r="Q5" s="165"/>
      <c r="R5" s="90"/>
      <c r="S5" s="91" t="s">
        <v>5</v>
      </c>
      <c r="T5" s="92">
        <v>3</v>
      </c>
    </row>
    <row r="6" spans="2:21" ht="16.5" thickBot="1" x14ac:dyDescent="0.3">
      <c r="B6" s="93" t="s">
        <v>6</v>
      </c>
      <c r="C6" s="93" t="s">
        <v>7</v>
      </c>
      <c r="D6" s="93" t="s">
        <v>8</v>
      </c>
      <c r="E6" s="93" t="s">
        <v>9</v>
      </c>
      <c r="F6" s="93" t="s">
        <v>10</v>
      </c>
      <c r="G6" s="93" t="s">
        <v>36</v>
      </c>
      <c r="H6" s="94" t="s">
        <v>11</v>
      </c>
      <c r="I6" s="94" t="s">
        <v>12</v>
      </c>
      <c r="J6" s="93" t="s">
        <v>13</v>
      </c>
      <c r="L6" s="95" t="s">
        <v>6</v>
      </c>
      <c r="M6" s="95" t="s">
        <v>7</v>
      </c>
      <c r="N6" s="95" t="s">
        <v>8</v>
      </c>
      <c r="O6" s="95" t="s">
        <v>9</v>
      </c>
      <c r="P6" s="95" t="s">
        <v>10</v>
      </c>
      <c r="Q6" s="95" t="s">
        <v>36</v>
      </c>
      <c r="S6" s="91" t="s">
        <v>14</v>
      </c>
      <c r="T6" s="96">
        <v>85</v>
      </c>
    </row>
    <row r="7" spans="2:21" ht="16.5" thickBot="1" x14ac:dyDescent="0.3">
      <c r="B7" s="97">
        <f>$C$3</f>
        <v>42990</v>
      </c>
      <c r="C7" s="98">
        <v>96</v>
      </c>
      <c r="D7" s="99" t="s">
        <v>22</v>
      </c>
      <c r="E7" s="100" t="s">
        <v>15</v>
      </c>
      <c r="F7" s="101" t="s">
        <v>15</v>
      </c>
      <c r="G7" s="102" t="s">
        <v>47</v>
      </c>
      <c r="H7" s="153">
        <f>SUM(C7:C11)</f>
        <v>111.9</v>
      </c>
      <c r="I7" s="156">
        <f>$T$6-H7</f>
        <v>-26.900000000000006</v>
      </c>
      <c r="J7" s="159">
        <f>($T$6-H7)</f>
        <v>-26.900000000000006</v>
      </c>
      <c r="L7" s="103">
        <f>C$3 + $T$5 -1</f>
        <v>42992</v>
      </c>
      <c r="M7" s="104"/>
      <c r="N7" s="105" t="s">
        <v>20</v>
      </c>
      <c r="O7" s="106" t="s">
        <v>15</v>
      </c>
      <c r="P7" s="106" t="s">
        <v>15</v>
      </c>
      <c r="Q7" s="107" t="s">
        <v>48</v>
      </c>
      <c r="R7" s="80" t="s">
        <v>37</v>
      </c>
      <c r="S7" s="91" t="s">
        <v>16</v>
      </c>
      <c r="T7" s="96">
        <f>T6*T5</f>
        <v>255</v>
      </c>
    </row>
    <row r="8" spans="2:21" ht="16.5" thickBot="1" x14ac:dyDescent="0.3">
      <c r="B8" s="108">
        <f>$C$3</f>
        <v>42990</v>
      </c>
      <c r="C8" s="109">
        <v>15.9</v>
      </c>
      <c r="D8" s="110" t="s">
        <v>22</v>
      </c>
      <c r="E8" s="111" t="s">
        <v>15</v>
      </c>
      <c r="F8" s="112" t="s">
        <v>15</v>
      </c>
      <c r="G8" s="113" t="s">
        <v>47</v>
      </c>
      <c r="H8" s="154"/>
      <c r="I8" s="157"/>
      <c r="J8" s="160"/>
      <c r="L8" s="103">
        <f>C$3 + $T$5 -1</f>
        <v>42992</v>
      </c>
      <c r="M8" s="104">
        <v>0</v>
      </c>
      <c r="N8" s="105" t="s">
        <v>26</v>
      </c>
      <c r="O8" s="106" t="s">
        <v>27</v>
      </c>
      <c r="P8" s="106" t="s">
        <v>27</v>
      </c>
      <c r="Q8" s="107" t="s">
        <v>49</v>
      </c>
      <c r="R8" s="80" t="s">
        <v>37</v>
      </c>
    </row>
    <row r="9" spans="2:21" x14ac:dyDescent="0.25">
      <c r="B9" s="108">
        <f>$C$3</f>
        <v>42990</v>
      </c>
      <c r="C9" s="109"/>
      <c r="D9" s="110" t="s">
        <v>22</v>
      </c>
      <c r="E9" s="111" t="s">
        <v>15</v>
      </c>
      <c r="F9" s="112" t="s">
        <v>15</v>
      </c>
      <c r="G9" s="113" t="s">
        <v>47</v>
      </c>
      <c r="H9" s="154"/>
      <c r="I9" s="157"/>
      <c r="J9" s="160"/>
      <c r="L9" s="97">
        <f>C$3</f>
        <v>42990</v>
      </c>
      <c r="M9" s="114">
        <v>17</v>
      </c>
      <c r="N9" s="115" t="s">
        <v>24</v>
      </c>
      <c r="O9" s="101" t="s">
        <v>15</v>
      </c>
      <c r="P9" s="101" t="s">
        <v>15</v>
      </c>
      <c r="Q9" s="116" t="s">
        <v>46</v>
      </c>
      <c r="R9" s="80" t="s">
        <v>37</v>
      </c>
      <c r="S9" s="91" t="s">
        <v>17</v>
      </c>
      <c r="T9" s="96">
        <f>SUM(C7:C66)</f>
        <v>239.87</v>
      </c>
    </row>
    <row r="10" spans="2:21" x14ac:dyDescent="0.25">
      <c r="B10" s="108">
        <f>$C$3</f>
        <v>42990</v>
      </c>
      <c r="C10" s="117"/>
      <c r="D10" s="110" t="s">
        <v>22</v>
      </c>
      <c r="E10" s="111" t="s">
        <v>15</v>
      </c>
      <c r="F10" s="112" t="s">
        <v>15</v>
      </c>
      <c r="G10" s="113" t="s">
        <v>47</v>
      </c>
      <c r="H10" s="154"/>
      <c r="I10" s="157"/>
      <c r="J10" s="160"/>
      <c r="L10" s="118">
        <f>C$3</f>
        <v>42990</v>
      </c>
      <c r="M10" s="96">
        <v>21.22</v>
      </c>
      <c r="N10" s="92" t="s">
        <v>25</v>
      </c>
      <c r="O10" s="119" t="s">
        <v>15</v>
      </c>
      <c r="P10" s="119" t="s">
        <v>15</v>
      </c>
      <c r="Q10" s="120" t="s">
        <v>46</v>
      </c>
      <c r="R10" s="80" t="s">
        <v>37</v>
      </c>
      <c r="S10" s="91" t="s">
        <v>12</v>
      </c>
      <c r="T10" s="96">
        <f>T7-T9</f>
        <v>15.129999999999995</v>
      </c>
    </row>
    <row r="11" spans="2:21" ht="16.5" thickBot="1" x14ac:dyDescent="0.3">
      <c r="B11" s="121">
        <f>$C$3</f>
        <v>42990</v>
      </c>
      <c r="C11" s="122"/>
      <c r="D11" s="123" t="s">
        <v>22</v>
      </c>
      <c r="E11" s="124" t="s">
        <v>15</v>
      </c>
      <c r="F11" s="125" t="s">
        <v>15</v>
      </c>
      <c r="G11" s="126" t="s">
        <v>47</v>
      </c>
      <c r="H11" s="155"/>
      <c r="I11" s="158"/>
      <c r="J11" s="161"/>
      <c r="L11" s="118">
        <f>C$3</f>
        <v>42990</v>
      </c>
      <c r="M11" s="96"/>
      <c r="N11" s="92" t="s">
        <v>24</v>
      </c>
      <c r="O11" s="119" t="s">
        <v>15</v>
      </c>
      <c r="P11" s="119" t="s">
        <v>15</v>
      </c>
      <c r="Q11" s="120" t="s">
        <v>46</v>
      </c>
      <c r="R11" s="80" t="s">
        <v>37</v>
      </c>
      <c r="S11" s="127"/>
      <c r="T11" s="128"/>
    </row>
    <row r="12" spans="2:21" ht="16.5" thickBot="1" x14ac:dyDescent="0.3">
      <c r="B12" s="97">
        <f>$C$3 +1</f>
        <v>42991</v>
      </c>
      <c r="C12" s="98">
        <v>55.92</v>
      </c>
      <c r="D12" s="99" t="s">
        <v>22</v>
      </c>
      <c r="E12" s="100" t="s">
        <v>15</v>
      </c>
      <c r="F12" s="101" t="s">
        <v>15</v>
      </c>
      <c r="G12" s="102" t="s">
        <v>47</v>
      </c>
      <c r="H12" s="153">
        <f>SUM(C12:C16)</f>
        <v>75.97</v>
      </c>
      <c r="I12" s="156">
        <f>$T$6-H12</f>
        <v>9.0300000000000011</v>
      </c>
      <c r="J12" s="159">
        <f>($T$6-H12)+J7</f>
        <v>-17.870000000000005</v>
      </c>
      <c r="K12" s="129"/>
      <c r="L12" s="130">
        <f>C$3</f>
        <v>42990</v>
      </c>
      <c r="M12" s="131"/>
      <c r="N12" s="132" t="s">
        <v>24</v>
      </c>
      <c r="O12" s="133" t="s">
        <v>15</v>
      </c>
      <c r="P12" s="133" t="s">
        <v>15</v>
      </c>
      <c r="Q12" s="134" t="s">
        <v>46</v>
      </c>
      <c r="R12" s="80" t="s">
        <v>37</v>
      </c>
      <c r="S12" s="91" t="s">
        <v>18</v>
      </c>
      <c r="T12" s="135">
        <f>SUM(M9:M56)</f>
        <v>107.87</v>
      </c>
    </row>
    <row r="13" spans="2:21" x14ac:dyDescent="0.25">
      <c r="B13" s="108">
        <f>$C$3 +1</f>
        <v>42991</v>
      </c>
      <c r="C13" s="117">
        <v>20.05</v>
      </c>
      <c r="D13" s="110" t="s">
        <v>22</v>
      </c>
      <c r="E13" s="111" t="s">
        <v>15</v>
      </c>
      <c r="F13" s="112" t="s">
        <v>15</v>
      </c>
      <c r="G13" s="113" t="s">
        <v>47</v>
      </c>
      <c r="H13" s="154"/>
      <c r="I13" s="157"/>
      <c r="J13" s="160"/>
      <c r="K13" s="129"/>
      <c r="L13" s="97">
        <f>C$3 + 1</f>
        <v>42991</v>
      </c>
      <c r="M13" s="114">
        <v>10.55</v>
      </c>
      <c r="N13" s="115" t="s">
        <v>25</v>
      </c>
      <c r="O13" s="101" t="s">
        <v>15</v>
      </c>
      <c r="P13" s="101" t="s">
        <v>15</v>
      </c>
      <c r="Q13" s="116" t="s">
        <v>46</v>
      </c>
      <c r="R13" s="80" t="s">
        <v>37</v>
      </c>
      <c r="S13" s="91" t="s">
        <v>20</v>
      </c>
      <c r="T13" s="135">
        <f>SUM(M7)</f>
        <v>0</v>
      </c>
    </row>
    <row r="14" spans="2:21" x14ac:dyDescent="0.25">
      <c r="B14" s="108">
        <f>$C$3 +1</f>
        <v>42991</v>
      </c>
      <c r="C14" s="117"/>
      <c r="D14" s="110" t="s">
        <v>22</v>
      </c>
      <c r="E14" s="111" t="s">
        <v>15</v>
      </c>
      <c r="F14" s="112" t="s">
        <v>15</v>
      </c>
      <c r="G14" s="113" t="s">
        <v>47</v>
      </c>
      <c r="H14" s="154"/>
      <c r="I14" s="157"/>
      <c r="J14" s="160"/>
      <c r="K14" s="129"/>
      <c r="L14" s="118">
        <f>C$3 + 1</f>
        <v>42991</v>
      </c>
      <c r="M14" s="96">
        <v>9.57</v>
      </c>
      <c r="N14" s="92" t="s">
        <v>25</v>
      </c>
      <c r="O14" s="119" t="s">
        <v>15</v>
      </c>
      <c r="P14" s="119" t="s">
        <v>15</v>
      </c>
      <c r="Q14" s="120" t="s">
        <v>46</v>
      </c>
      <c r="R14" s="80" t="s">
        <v>37</v>
      </c>
      <c r="T14" s="128"/>
    </row>
    <row r="15" spans="2:21" x14ac:dyDescent="0.25">
      <c r="B15" s="108">
        <f>$C$3 +1</f>
        <v>42991</v>
      </c>
      <c r="C15" s="136"/>
      <c r="D15" s="110" t="s">
        <v>22</v>
      </c>
      <c r="E15" s="111" t="s">
        <v>15</v>
      </c>
      <c r="F15" s="112" t="s">
        <v>15</v>
      </c>
      <c r="G15" s="113" t="s">
        <v>47</v>
      </c>
      <c r="H15" s="154"/>
      <c r="I15" s="157"/>
      <c r="J15" s="160"/>
      <c r="K15" s="129"/>
      <c r="L15" s="118">
        <f>C$3 + 1</f>
        <v>42991</v>
      </c>
      <c r="M15" s="96"/>
      <c r="N15" s="92" t="s">
        <v>25</v>
      </c>
      <c r="O15" s="119" t="s">
        <v>15</v>
      </c>
      <c r="P15" s="119" t="s">
        <v>15</v>
      </c>
      <c r="Q15" s="120" t="s">
        <v>46</v>
      </c>
      <c r="R15" s="80" t="s">
        <v>37</v>
      </c>
      <c r="S15" s="91" t="s">
        <v>19</v>
      </c>
      <c r="T15" s="135">
        <f>T12+T9+T13</f>
        <v>347.74</v>
      </c>
    </row>
    <row r="16" spans="2:21" ht="16.5" thickBot="1" x14ac:dyDescent="0.3">
      <c r="B16" s="121">
        <f>$C$3 +1</f>
        <v>42991</v>
      </c>
      <c r="C16" s="137"/>
      <c r="D16" s="123" t="s">
        <v>22</v>
      </c>
      <c r="E16" s="124" t="s">
        <v>15</v>
      </c>
      <c r="F16" s="125" t="s">
        <v>15</v>
      </c>
      <c r="G16" s="126" t="s">
        <v>47</v>
      </c>
      <c r="H16" s="155"/>
      <c r="I16" s="158"/>
      <c r="J16" s="161"/>
      <c r="L16" s="130">
        <f>C$3 + 1</f>
        <v>42991</v>
      </c>
      <c r="M16" s="131">
        <v>15</v>
      </c>
      <c r="N16" s="132" t="s">
        <v>24</v>
      </c>
      <c r="O16" s="133" t="s">
        <v>15</v>
      </c>
      <c r="P16" s="133" t="s">
        <v>15</v>
      </c>
      <c r="Q16" s="134" t="s">
        <v>46</v>
      </c>
      <c r="R16" s="80" t="s">
        <v>37</v>
      </c>
    </row>
    <row r="17" spans="2:20" x14ac:dyDescent="0.25">
      <c r="B17" s="97">
        <f>$C$3 +2</f>
        <v>42992</v>
      </c>
      <c r="C17" s="98">
        <v>29</v>
      </c>
      <c r="D17" s="99" t="s">
        <v>22</v>
      </c>
      <c r="E17" s="100" t="s">
        <v>15</v>
      </c>
      <c r="F17" s="101" t="s">
        <v>15</v>
      </c>
      <c r="G17" s="102" t="s">
        <v>47</v>
      </c>
      <c r="H17" s="153">
        <f>SUM(C17:C21)</f>
        <v>52</v>
      </c>
      <c r="I17" s="156">
        <f>$T$6-H17</f>
        <v>33</v>
      </c>
      <c r="J17" s="159">
        <f>($T$6-H17)+J12</f>
        <v>15.129999999999995</v>
      </c>
      <c r="L17" s="97">
        <f>C$3 + 2</f>
        <v>42992</v>
      </c>
      <c r="M17" s="114">
        <v>21</v>
      </c>
      <c r="N17" s="115" t="s">
        <v>24</v>
      </c>
      <c r="O17" s="101" t="s">
        <v>15</v>
      </c>
      <c r="P17" s="101" t="s">
        <v>15</v>
      </c>
      <c r="Q17" s="116" t="s">
        <v>46</v>
      </c>
      <c r="R17" s="80" t="s">
        <v>37</v>
      </c>
      <c r="T17" s="138"/>
    </row>
    <row r="18" spans="2:20" x14ac:dyDescent="0.25">
      <c r="B18" s="108">
        <f>$C$3 +2</f>
        <v>42992</v>
      </c>
      <c r="C18" s="117">
        <v>7</v>
      </c>
      <c r="D18" s="110" t="s">
        <v>22</v>
      </c>
      <c r="E18" s="111" t="s">
        <v>15</v>
      </c>
      <c r="F18" s="112" t="s">
        <v>15</v>
      </c>
      <c r="G18" s="113" t="s">
        <v>47</v>
      </c>
      <c r="H18" s="154"/>
      <c r="I18" s="157"/>
      <c r="J18" s="160"/>
      <c r="L18" s="118">
        <f>C$3 + 2</f>
        <v>42992</v>
      </c>
      <c r="M18" s="96"/>
      <c r="N18" s="92" t="s">
        <v>24</v>
      </c>
      <c r="O18" s="119" t="s">
        <v>15</v>
      </c>
      <c r="P18" s="119" t="s">
        <v>15</v>
      </c>
      <c r="Q18" s="120" t="s">
        <v>46</v>
      </c>
      <c r="R18" s="80" t="s">
        <v>37</v>
      </c>
      <c r="T18" s="138"/>
    </row>
    <row r="19" spans="2:20" x14ac:dyDescent="0.25">
      <c r="B19" s="108">
        <f>$C$3 +2</f>
        <v>42992</v>
      </c>
      <c r="C19" s="117">
        <v>16</v>
      </c>
      <c r="D19" s="110" t="s">
        <v>34</v>
      </c>
      <c r="E19" s="111" t="s">
        <v>15</v>
      </c>
      <c r="F19" s="112" t="s">
        <v>15</v>
      </c>
      <c r="G19" s="113" t="s">
        <v>47</v>
      </c>
      <c r="H19" s="154"/>
      <c r="I19" s="157"/>
      <c r="J19" s="160"/>
      <c r="L19" s="118">
        <f>C$3 + 2</f>
        <v>42992</v>
      </c>
      <c r="M19" s="96">
        <v>6.85</v>
      </c>
      <c r="N19" s="92" t="s">
        <v>25</v>
      </c>
      <c r="O19" s="119" t="s">
        <v>15</v>
      </c>
      <c r="P19" s="119" t="s">
        <v>15</v>
      </c>
      <c r="Q19" s="120" t="s">
        <v>46</v>
      </c>
      <c r="R19" s="80" t="s">
        <v>37</v>
      </c>
      <c r="T19" s="138"/>
    </row>
    <row r="20" spans="2:20" ht="16.5" thickBot="1" x14ac:dyDescent="0.3">
      <c r="B20" s="108">
        <f>$C$3 +2</f>
        <v>42992</v>
      </c>
      <c r="C20" s="117"/>
      <c r="D20" s="110" t="s">
        <v>22</v>
      </c>
      <c r="E20" s="111" t="s">
        <v>15</v>
      </c>
      <c r="F20" s="112" t="s">
        <v>15</v>
      </c>
      <c r="G20" s="113" t="s">
        <v>47</v>
      </c>
      <c r="H20" s="154"/>
      <c r="I20" s="157"/>
      <c r="J20" s="160"/>
      <c r="L20" s="130">
        <f>C$3 + 2</f>
        <v>42992</v>
      </c>
      <c r="M20" s="131">
        <v>6.68</v>
      </c>
      <c r="N20" s="132" t="s">
        <v>25</v>
      </c>
      <c r="O20" s="133" t="s">
        <v>15</v>
      </c>
      <c r="P20" s="133" t="s">
        <v>15</v>
      </c>
      <c r="Q20" s="134" t="s">
        <v>46</v>
      </c>
      <c r="R20" s="80" t="s">
        <v>37</v>
      </c>
      <c r="T20" s="138"/>
    </row>
    <row r="21" spans="2:20" ht="16.5" thickBot="1" x14ac:dyDescent="0.3">
      <c r="B21" s="121">
        <f>$C$3 +2</f>
        <v>42992</v>
      </c>
      <c r="C21" s="137"/>
      <c r="D21" s="123" t="s">
        <v>22</v>
      </c>
      <c r="E21" s="124" t="s">
        <v>15</v>
      </c>
      <c r="F21" s="125" t="s">
        <v>15</v>
      </c>
      <c r="G21" s="126" t="s">
        <v>47</v>
      </c>
      <c r="H21" s="155"/>
      <c r="I21" s="158"/>
      <c r="J21" s="161"/>
      <c r="L21" s="97">
        <f>C$3 + 3</f>
        <v>42993</v>
      </c>
      <c r="M21" s="114"/>
      <c r="N21" s="115" t="s">
        <v>24</v>
      </c>
      <c r="O21" s="101" t="s">
        <v>15</v>
      </c>
      <c r="P21" s="101" t="s">
        <v>15</v>
      </c>
      <c r="Q21" s="116" t="s">
        <v>46</v>
      </c>
      <c r="R21" s="80" t="s">
        <v>37</v>
      </c>
    </row>
    <row r="22" spans="2:20" x14ac:dyDescent="0.25">
      <c r="B22" s="97">
        <f>$C$3 + 3</f>
        <v>42993</v>
      </c>
      <c r="C22" s="98"/>
      <c r="D22" s="99" t="s">
        <v>22</v>
      </c>
      <c r="E22" s="100" t="s">
        <v>15</v>
      </c>
      <c r="F22" s="101" t="s">
        <v>15</v>
      </c>
      <c r="G22" s="102" t="s">
        <v>47</v>
      </c>
      <c r="H22" s="153">
        <f>SUM(C22:C26)</f>
        <v>0</v>
      </c>
      <c r="I22" s="156">
        <f>$T$6-H22</f>
        <v>85</v>
      </c>
      <c r="J22" s="159">
        <f>($T$6-H22)+J17</f>
        <v>100.13</v>
      </c>
      <c r="L22" s="118">
        <f>C$3 + 3</f>
        <v>42993</v>
      </c>
      <c r="M22" s="96"/>
      <c r="N22" s="92" t="s">
        <v>24</v>
      </c>
      <c r="O22" s="119" t="s">
        <v>15</v>
      </c>
      <c r="P22" s="119" t="s">
        <v>15</v>
      </c>
      <c r="Q22" s="120" t="s">
        <v>46</v>
      </c>
      <c r="R22" s="80" t="s">
        <v>37</v>
      </c>
    </row>
    <row r="23" spans="2:20" x14ac:dyDescent="0.25">
      <c r="B23" s="108">
        <f>$C$3 + 3</f>
        <v>42993</v>
      </c>
      <c r="C23" s="117"/>
      <c r="D23" s="110" t="s">
        <v>22</v>
      </c>
      <c r="E23" s="111" t="s">
        <v>15</v>
      </c>
      <c r="F23" s="112" t="s">
        <v>15</v>
      </c>
      <c r="G23" s="113" t="s">
        <v>47</v>
      </c>
      <c r="H23" s="154"/>
      <c r="I23" s="157"/>
      <c r="J23" s="160"/>
      <c r="L23" s="118">
        <f>C$3 + 3</f>
        <v>42993</v>
      </c>
      <c r="M23" s="96"/>
      <c r="N23" s="92" t="s">
        <v>24</v>
      </c>
      <c r="O23" s="119" t="s">
        <v>15</v>
      </c>
      <c r="P23" s="119" t="s">
        <v>15</v>
      </c>
      <c r="Q23" s="120" t="s">
        <v>46</v>
      </c>
      <c r="R23" s="80" t="s">
        <v>37</v>
      </c>
    </row>
    <row r="24" spans="2:20" ht="16.5" thickBot="1" x14ac:dyDescent="0.3">
      <c r="B24" s="108">
        <f>$C$3 + 3</f>
        <v>42993</v>
      </c>
      <c r="C24" s="117"/>
      <c r="D24" s="110" t="s">
        <v>22</v>
      </c>
      <c r="E24" s="111" t="s">
        <v>15</v>
      </c>
      <c r="F24" s="112" t="s">
        <v>15</v>
      </c>
      <c r="G24" s="113" t="s">
        <v>47</v>
      </c>
      <c r="H24" s="154"/>
      <c r="I24" s="157"/>
      <c r="J24" s="160"/>
      <c r="L24" s="130">
        <f>C$3 + 3</f>
        <v>42993</v>
      </c>
      <c r="M24" s="132"/>
      <c r="N24" s="132" t="s">
        <v>25</v>
      </c>
      <c r="O24" s="133" t="s">
        <v>15</v>
      </c>
      <c r="P24" s="133" t="s">
        <v>15</v>
      </c>
      <c r="Q24" s="134" t="s">
        <v>46</v>
      </c>
      <c r="R24" s="80" t="s">
        <v>37</v>
      </c>
    </row>
    <row r="25" spans="2:20" x14ac:dyDescent="0.25">
      <c r="B25" s="108">
        <f>$C$3 + 3</f>
        <v>42993</v>
      </c>
      <c r="C25" s="117"/>
      <c r="D25" s="110" t="s">
        <v>22</v>
      </c>
      <c r="E25" s="111" t="s">
        <v>15</v>
      </c>
      <c r="F25" s="112" t="s">
        <v>15</v>
      </c>
      <c r="G25" s="113" t="s">
        <v>47</v>
      </c>
      <c r="H25" s="154"/>
      <c r="I25" s="157"/>
      <c r="J25" s="160"/>
      <c r="L25" s="97">
        <f>C$3 + 4</f>
        <v>42994</v>
      </c>
      <c r="M25" s="114"/>
      <c r="N25" s="115" t="s">
        <v>24</v>
      </c>
      <c r="O25" s="101" t="s">
        <v>15</v>
      </c>
      <c r="P25" s="101" t="s">
        <v>15</v>
      </c>
      <c r="Q25" s="116" t="s">
        <v>46</v>
      </c>
      <c r="R25" s="80" t="s">
        <v>37</v>
      </c>
    </row>
    <row r="26" spans="2:20" ht="16.5" thickBot="1" x14ac:dyDescent="0.3">
      <c r="B26" s="121">
        <f>$C$3 + 3</f>
        <v>42993</v>
      </c>
      <c r="C26" s="137"/>
      <c r="D26" s="123" t="s">
        <v>22</v>
      </c>
      <c r="E26" s="124" t="s">
        <v>15</v>
      </c>
      <c r="F26" s="125" t="s">
        <v>15</v>
      </c>
      <c r="G26" s="126" t="s">
        <v>47</v>
      </c>
      <c r="H26" s="155"/>
      <c r="I26" s="158"/>
      <c r="J26" s="161"/>
      <c r="L26" s="118">
        <f>C$3 + 4</f>
        <v>42994</v>
      </c>
      <c r="M26" s="96"/>
      <c r="N26" s="92" t="s">
        <v>24</v>
      </c>
      <c r="O26" s="119" t="s">
        <v>15</v>
      </c>
      <c r="P26" s="119" t="s">
        <v>15</v>
      </c>
      <c r="Q26" s="120" t="s">
        <v>46</v>
      </c>
      <c r="R26" s="80" t="s">
        <v>37</v>
      </c>
    </row>
    <row r="27" spans="2:20" x14ac:dyDescent="0.25">
      <c r="B27" s="97">
        <f>$C$3 + 4</f>
        <v>42994</v>
      </c>
      <c r="C27" s="98"/>
      <c r="D27" s="99" t="s">
        <v>34</v>
      </c>
      <c r="E27" s="100" t="s">
        <v>15</v>
      </c>
      <c r="F27" s="101" t="s">
        <v>15</v>
      </c>
      <c r="G27" s="102" t="s">
        <v>47</v>
      </c>
      <c r="H27" s="153">
        <f>SUM(C27:C31)</f>
        <v>0</v>
      </c>
      <c r="I27" s="156">
        <f>$T$6-H27</f>
        <v>85</v>
      </c>
      <c r="J27" s="159">
        <f>($T$6-H27)+J22</f>
        <v>185.13</v>
      </c>
      <c r="L27" s="118">
        <f>C$3 + 4</f>
        <v>42994</v>
      </c>
      <c r="M27" s="96"/>
      <c r="N27" s="92" t="s">
        <v>25</v>
      </c>
      <c r="O27" s="119" t="s">
        <v>15</v>
      </c>
      <c r="P27" s="119" t="s">
        <v>15</v>
      </c>
      <c r="Q27" s="120" t="s">
        <v>46</v>
      </c>
      <c r="R27" s="80" t="s">
        <v>37</v>
      </c>
    </row>
    <row r="28" spans="2:20" ht="16.5" thickBot="1" x14ac:dyDescent="0.3">
      <c r="B28" s="118">
        <f>$C$3 + 4</f>
        <v>42994</v>
      </c>
      <c r="C28" s="117"/>
      <c r="D28" s="110" t="s">
        <v>22</v>
      </c>
      <c r="E28" s="111" t="s">
        <v>15</v>
      </c>
      <c r="F28" s="112" t="s">
        <v>15</v>
      </c>
      <c r="G28" s="113" t="s">
        <v>47</v>
      </c>
      <c r="H28" s="154"/>
      <c r="I28" s="157"/>
      <c r="J28" s="160"/>
      <c r="L28" s="130">
        <f>C$3 + 4</f>
        <v>42994</v>
      </c>
      <c r="M28" s="131"/>
      <c r="N28" s="132" t="s">
        <v>24</v>
      </c>
      <c r="O28" s="133" t="s">
        <v>15</v>
      </c>
      <c r="P28" s="133" t="s">
        <v>15</v>
      </c>
      <c r="Q28" s="134" t="s">
        <v>46</v>
      </c>
      <c r="R28" s="80" t="s">
        <v>37</v>
      </c>
    </row>
    <row r="29" spans="2:20" x14ac:dyDescent="0.25">
      <c r="B29" s="118">
        <f>$C$3 + 4</f>
        <v>42994</v>
      </c>
      <c r="C29" s="117"/>
      <c r="D29" s="110" t="s">
        <v>22</v>
      </c>
      <c r="E29" s="111" t="s">
        <v>15</v>
      </c>
      <c r="F29" s="112" t="s">
        <v>15</v>
      </c>
      <c r="G29" s="113" t="s">
        <v>47</v>
      </c>
      <c r="H29" s="154"/>
      <c r="I29" s="157"/>
      <c r="J29" s="160"/>
      <c r="L29" s="97">
        <f>C$3 + 5</f>
        <v>42995</v>
      </c>
      <c r="M29" s="114"/>
      <c r="N29" s="115" t="s">
        <v>24</v>
      </c>
      <c r="O29" s="101" t="s">
        <v>15</v>
      </c>
      <c r="P29" s="101" t="s">
        <v>15</v>
      </c>
      <c r="Q29" s="116" t="s">
        <v>46</v>
      </c>
      <c r="R29" s="80" t="s">
        <v>37</v>
      </c>
    </row>
    <row r="30" spans="2:20" x14ac:dyDescent="0.25">
      <c r="B30" s="118">
        <f>$C$3 + 4</f>
        <v>42994</v>
      </c>
      <c r="C30" s="117"/>
      <c r="D30" s="110" t="s">
        <v>22</v>
      </c>
      <c r="E30" s="111" t="s">
        <v>15</v>
      </c>
      <c r="F30" s="112" t="s">
        <v>15</v>
      </c>
      <c r="G30" s="113" t="s">
        <v>47</v>
      </c>
      <c r="H30" s="154"/>
      <c r="I30" s="157"/>
      <c r="J30" s="160"/>
      <c r="L30" s="118">
        <f>C$3 + 5</f>
        <v>42995</v>
      </c>
      <c r="M30" s="96"/>
      <c r="N30" s="92" t="s">
        <v>24</v>
      </c>
      <c r="O30" s="119" t="s">
        <v>15</v>
      </c>
      <c r="P30" s="119" t="s">
        <v>15</v>
      </c>
      <c r="Q30" s="120" t="s">
        <v>46</v>
      </c>
      <c r="R30" s="80" t="s">
        <v>37</v>
      </c>
    </row>
    <row r="31" spans="2:20" ht="16.5" thickBot="1" x14ac:dyDescent="0.3">
      <c r="B31" s="121">
        <f>$C$3 + 4</f>
        <v>42994</v>
      </c>
      <c r="C31" s="137"/>
      <c r="D31" s="123" t="s">
        <v>22</v>
      </c>
      <c r="E31" s="124" t="s">
        <v>15</v>
      </c>
      <c r="F31" s="125" t="s">
        <v>15</v>
      </c>
      <c r="G31" s="126" t="s">
        <v>47</v>
      </c>
      <c r="H31" s="155"/>
      <c r="I31" s="158"/>
      <c r="J31" s="161"/>
      <c r="L31" s="118">
        <f>C$3 + 5</f>
        <v>42995</v>
      </c>
      <c r="M31" s="96"/>
      <c r="N31" s="92" t="s">
        <v>25</v>
      </c>
      <c r="O31" s="119" t="s">
        <v>15</v>
      </c>
      <c r="P31" s="119" t="s">
        <v>15</v>
      </c>
      <c r="Q31" s="120" t="s">
        <v>46</v>
      </c>
      <c r="R31" s="80" t="s">
        <v>37</v>
      </c>
    </row>
    <row r="32" spans="2:20" ht="16.5" thickBot="1" x14ac:dyDescent="0.3">
      <c r="B32" s="97">
        <f>$C$3 + 5</f>
        <v>42995</v>
      </c>
      <c r="C32" s="98"/>
      <c r="D32" s="99" t="s">
        <v>22</v>
      </c>
      <c r="E32" s="100" t="s">
        <v>15</v>
      </c>
      <c r="F32" s="101" t="s">
        <v>15</v>
      </c>
      <c r="G32" s="102" t="s">
        <v>47</v>
      </c>
      <c r="H32" s="153">
        <f>SUM(C32:C36)</f>
        <v>0</v>
      </c>
      <c r="I32" s="156">
        <f>$T$6-H32</f>
        <v>85</v>
      </c>
      <c r="J32" s="159">
        <f>($T$6-H32)+J27</f>
        <v>270.13</v>
      </c>
      <c r="L32" s="130">
        <f>C$3 + 5</f>
        <v>42995</v>
      </c>
      <c r="M32" s="131"/>
      <c r="N32" s="132" t="s">
        <v>24</v>
      </c>
      <c r="O32" s="133" t="s">
        <v>15</v>
      </c>
      <c r="P32" s="133" t="s">
        <v>15</v>
      </c>
      <c r="Q32" s="134" t="s">
        <v>46</v>
      </c>
      <c r="R32" s="80" t="s">
        <v>37</v>
      </c>
    </row>
    <row r="33" spans="2:18" x14ac:dyDescent="0.25">
      <c r="B33" s="118">
        <f>$C$3 + 5</f>
        <v>42995</v>
      </c>
      <c r="C33" s="117"/>
      <c r="D33" s="110" t="s">
        <v>22</v>
      </c>
      <c r="E33" s="111" t="s">
        <v>15</v>
      </c>
      <c r="F33" s="112" t="s">
        <v>15</v>
      </c>
      <c r="G33" s="113" t="s">
        <v>47</v>
      </c>
      <c r="H33" s="154"/>
      <c r="I33" s="157"/>
      <c r="J33" s="160"/>
      <c r="L33" s="97">
        <f>C$3 + 6</f>
        <v>42996</v>
      </c>
      <c r="M33" s="114"/>
      <c r="N33" s="115" t="s">
        <v>24</v>
      </c>
      <c r="O33" s="101" t="s">
        <v>15</v>
      </c>
      <c r="P33" s="101" t="s">
        <v>15</v>
      </c>
      <c r="Q33" s="116" t="s">
        <v>46</v>
      </c>
      <c r="R33" s="80" t="s">
        <v>37</v>
      </c>
    </row>
    <row r="34" spans="2:18" x14ac:dyDescent="0.25">
      <c r="B34" s="118">
        <f>$C$3 + 5</f>
        <v>42995</v>
      </c>
      <c r="C34" s="117"/>
      <c r="D34" s="110" t="s">
        <v>22</v>
      </c>
      <c r="E34" s="111" t="s">
        <v>15</v>
      </c>
      <c r="F34" s="112" t="s">
        <v>15</v>
      </c>
      <c r="G34" s="113" t="s">
        <v>47</v>
      </c>
      <c r="H34" s="154"/>
      <c r="I34" s="157"/>
      <c r="J34" s="160"/>
      <c r="L34" s="118">
        <f>C$3 + 6</f>
        <v>42996</v>
      </c>
      <c r="M34" s="96"/>
      <c r="N34" s="92" t="s">
        <v>24</v>
      </c>
      <c r="O34" s="119" t="s">
        <v>15</v>
      </c>
      <c r="P34" s="119" t="s">
        <v>15</v>
      </c>
      <c r="Q34" s="120" t="s">
        <v>46</v>
      </c>
      <c r="R34" s="80" t="s">
        <v>37</v>
      </c>
    </row>
    <row r="35" spans="2:18" x14ac:dyDescent="0.25">
      <c r="B35" s="118">
        <f>$C$3 + 5</f>
        <v>42995</v>
      </c>
      <c r="C35" s="117"/>
      <c r="D35" s="110" t="s">
        <v>22</v>
      </c>
      <c r="E35" s="111" t="s">
        <v>15</v>
      </c>
      <c r="F35" s="112" t="s">
        <v>15</v>
      </c>
      <c r="G35" s="113" t="s">
        <v>47</v>
      </c>
      <c r="H35" s="154"/>
      <c r="I35" s="157"/>
      <c r="J35" s="160"/>
      <c r="L35" s="118">
        <f>C$3 + 6</f>
        <v>42996</v>
      </c>
      <c r="M35" s="96"/>
      <c r="N35" s="92" t="s">
        <v>24</v>
      </c>
      <c r="O35" s="119" t="s">
        <v>15</v>
      </c>
      <c r="P35" s="119" t="s">
        <v>15</v>
      </c>
      <c r="Q35" s="120" t="s">
        <v>46</v>
      </c>
      <c r="R35" s="80" t="s">
        <v>37</v>
      </c>
    </row>
    <row r="36" spans="2:18" ht="16.5" thickBot="1" x14ac:dyDescent="0.3">
      <c r="B36" s="118">
        <f>$C$3 + 5</f>
        <v>42995</v>
      </c>
      <c r="C36" s="137"/>
      <c r="D36" s="123" t="s">
        <v>22</v>
      </c>
      <c r="E36" s="124" t="s">
        <v>15</v>
      </c>
      <c r="F36" s="125" t="s">
        <v>15</v>
      </c>
      <c r="G36" s="126" t="s">
        <v>47</v>
      </c>
      <c r="H36" s="155"/>
      <c r="I36" s="158"/>
      <c r="J36" s="161"/>
      <c r="L36" s="130">
        <f>C$3 + 6</f>
        <v>42996</v>
      </c>
      <c r="M36" s="131"/>
      <c r="N36" s="132" t="s">
        <v>24</v>
      </c>
      <c r="O36" s="133" t="s">
        <v>15</v>
      </c>
      <c r="P36" s="133" t="s">
        <v>15</v>
      </c>
      <c r="Q36" s="134" t="s">
        <v>46</v>
      </c>
      <c r="R36" s="80" t="s">
        <v>37</v>
      </c>
    </row>
    <row r="37" spans="2:18" x14ac:dyDescent="0.25">
      <c r="B37" s="97">
        <f>$C$3 + 6</f>
        <v>42996</v>
      </c>
      <c r="C37" s="98"/>
      <c r="D37" s="99" t="s">
        <v>22</v>
      </c>
      <c r="E37" s="100" t="s">
        <v>15</v>
      </c>
      <c r="F37" s="101" t="s">
        <v>15</v>
      </c>
      <c r="G37" s="102" t="s">
        <v>47</v>
      </c>
      <c r="H37" s="153">
        <f>SUM(C37:C41)</f>
        <v>0</v>
      </c>
      <c r="I37" s="156">
        <f>$T$6-H37</f>
        <v>85</v>
      </c>
      <c r="J37" s="159">
        <f>($T$6-H37)+J32</f>
        <v>355.13</v>
      </c>
      <c r="L37" s="97">
        <f>C$3 + 7</f>
        <v>42997</v>
      </c>
      <c r="M37" s="114"/>
      <c r="N37" s="115" t="s">
        <v>25</v>
      </c>
      <c r="O37" s="101" t="s">
        <v>15</v>
      </c>
      <c r="P37" s="101" t="s">
        <v>15</v>
      </c>
      <c r="Q37" s="116" t="s">
        <v>46</v>
      </c>
      <c r="R37" s="80" t="s">
        <v>37</v>
      </c>
    </row>
    <row r="38" spans="2:18" x14ac:dyDescent="0.25">
      <c r="B38" s="118">
        <f>$C$3 + 6</f>
        <v>42996</v>
      </c>
      <c r="C38" s="117"/>
      <c r="D38" s="110" t="s">
        <v>22</v>
      </c>
      <c r="E38" s="111" t="s">
        <v>15</v>
      </c>
      <c r="F38" s="112" t="s">
        <v>15</v>
      </c>
      <c r="G38" s="113" t="s">
        <v>47</v>
      </c>
      <c r="H38" s="154"/>
      <c r="I38" s="157"/>
      <c r="J38" s="160"/>
      <c r="L38" s="118">
        <f>C$3 + 7</f>
        <v>42997</v>
      </c>
      <c r="M38" s="96"/>
      <c r="N38" s="92" t="s">
        <v>24</v>
      </c>
      <c r="O38" s="119" t="s">
        <v>15</v>
      </c>
      <c r="P38" s="119" t="s">
        <v>15</v>
      </c>
      <c r="Q38" s="120" t="s">
        <v>46</v>
      </c>
      <c r="R38" s="80" t="s">
        <v>37</v>
      </c>
    </row>
    <row r="39" spans="2:18" x14ac:dyDescent="0.25">
      <c r="B39" s="118">
        <f>$C$3 + 6</f>
        <v>42996</v>
      </c>
      <c r="C39" s="117"/>
      <c r="D39" s="110" t="s">
        <v>22</v>
      </c>
      <c r="E39" s="111" t="s">
        <v>15</v>
      </c>
      <c r="F39" s="112" t="s">
        <v>15</v>
      </c>
      <c r="G39" s="113" t="s">
        <v>47</v>
      </c>
      <c r="H39" s="154"/>
      <c r="I39" s="157"/>
      <c r="J39" s="160"/>
      <c r="L39" s="118">
        <f>C$3 + 7</f>
        <v>42997</v>
      </c>
      <c r="M39" s="96"/>
      <c r="N39" s="92" t="s">
        <v>24</v>
      </c>
      <c r="O39" s="119" t="s">
        <v>15</v>
      </c>
      <c r="P39" s="119" t="s">
        <v>15</v>
      </c>
      <c r="Q39" s="120" t="s">
        <v>46</v>
      </c>
      <c r="R39" s="80" t="s">
        <v>37</v>
      </c>
    </row>
    <row r="40" spans="2:18" ht="16.5" thickBot="1" x14ac:dyDescent="0.3">
      <c r="B40" s="118">
        <f>$C$3 + 6</f>
        <v>42996</v>
      </c>
      <c r="C40" s="117"/>
      <c r="D40" s="110" t="s">
        <v>22</v>
      </c>
      <c r="E40" s="111" t="s">
        <v>15</v>
      </c>
      <c r="F40" s="112" t="s">
        <v>15</v>
      </c>
      <c r="G40" s="113" t="s">
        <v>47</v>
      </c>
      <c r="H40" s="154"/>
      <c r="I40" s="157"/>
      <c r="J40" s="160"/>
      <c r="L40" s="130">
        <f>C$3 + 7</f>
        <v>42997</v>
      </c>
      <c r="M40" s="131"/>
      <c r="N40" s="132" t="s">
        <v>25</v>
      </c>
      <c r="O40" s="133" t="s">
        <v>15</v>
      </c>
      <c r="P40" s="133" t="s">
        <v>15</v>
      </c>
      <c r="Q40" s="134" t="s">
        <v>46</v>
      </c>
      <c r="R40" s="80" t="s">
        <v>37</v>
      </c>
    </row>
    <row r="41" spans="2:18" ht="16.5" thickBot="1" x14ac:dyDescent="0.3">
      <c r="B41" s="118">
        <f>$C$3 + 6</f>
        <v>42996</v>
      </c>
      <c r="C41" s="137"/>
      <c r="D41" s="123" t="s">
        <v>22</v>
      </c>
      <c r="E41" s="124" t="s">
        <v>15</v>
      </c>
      <c r="F41" s="125" t="s">
        <v>15</v>
      </c>
      <c r="G41" s="126" t="s">
        <v>47</v>
      </c>
      <c r="H41" s="155"/>
      <c r="I41" s="158"/>
      <c r="J41" s="161"/>
      <c r="L41" s="97">
        <f>C$3 + 8</f>
        <v>42998</v>
      </c>
      <c r="M41" s="114"/>
      <c r="N41" s="115" t="s">
        <v>24</v>
      </c>
      <c r="O41" s="101" t="s">
        <v>15</v>
      </c>
      <c r="P41" s="101" t="s">
        <v>15</v>
      </c>
      <c r="Q41" s="116" t="s">
        <v>46</v>
      </c>
      <c r="R41" s="80" t="s">
        <v>37</v>
      </c>
    </row>
    <row r="42" spans="2:18" x14ac:dyDescent="0.25">
      <c r="B42" s="97">
        <f>$C$3 + 7</f>
        <v>42997</v>
      </c>
      <c r="C42" s="98"/>
      <c r="D42" s="99" t="s">
        <v>22</v>
      </c>
      <c r="E42" s="100" t="s">
        <v>15</v>
      </c>
      <c r="F42" s="101" t="s">
        <v>15</v>
      </c>
      <c r="G42" s="102" t="s">
        <v>47</v>
      </c>
      <c r="H42" s="153">
        <f>SUM(C42:C46)</f>
        <v>0</v>
      </c>
      <c r="I42" s="156">
        <f>$T$6-H42</f>
        <v>85</v>
      </c>
      <c r="J42" s="159">
        <f>($T$6-H42)+J37</f>
        <v>440.13</v>
      </c>
      <c r="L42" s="118">
        <f>C$3 + 8</f>
        <v>42998</v>
      </c>
      <c r="M42" s="96"/>
      <c r="N42" s="92" t="s">
        <v>24</v>
      </c>
      <c r="O42" s="119" t="s">
        <v>15</v>
      </c>
      <c r="P42" s="119" t="s">
        <v>15</v>
      </c>
      <c r="Q42" s="120" t="s">
        <v>46</v>
      </c>
      <c r="R42" s="80" t="s">
        <v>37</v>
      </c>
    </row>
    <row r="43" spans="2:18" x14ac:dyDescent="0.25">
      <c r="B43" s="118">
        <f>$C$3 + 7</f>
        <v>42997</v>
      </c>
      <c r="C43" s="117"/>
      <c r="D43" s="110" t="s">
        <v>22</v>
      </c>
      <c r="E43" s="111" t="s">
        <v>15</v>
      </c>
      <c r="F43" s="112" t="s">
        <v>15</v>
      </c>
      <c r="G43" s="113" t="s">
        <v>47</v>
      </c>
      <c r="H43" s="154"/>
      <c r="I43" s="157"/>
      <c r="J43" s="160"/>
      <c r="L43" s="118">
        <f>C$3 + 8</f>
        <v>42998</v>
      </c>
      <c r="M43" s="96"/>
      <c r="N43" s="92" t="s">
        <v>25</v>
      </c>
      <c r="O43" s="119" t="s">
        <v>15</v>
      </c>
      <c r="P43" s="119" t="s">
        <v>15</v>
      </c>
      <c r="Q43" s="120" t="s">
        <v>46</v>
      </c>
      <c r="R43" s="80" t="s">
        <v>37</v>
      </c>
    </row>
    <row r="44" spans="2:18" ht="16.5" thickBot="1" x14ac:dyDescent="0.3">
      <c r="B44" s="118">
        <f>$C$3 + 7</f>
        <v>42997</v>
      </c>
      <c r="C44" s="117"/>
      <c r="D44" s="110" t="s">
        <v>22</v>
      </c>
      <c r="E44" s="111" t="s">
        <v>15</v>
      </c>
      <c r="F44" s="112" t="s">
        <v>15</v>
      </c>
      <c r="G44" s="113" t="s">
        <v>47</v>
      </c>
      <c r="H44" s="154"/>
      <c r="I44" s="157"/>
      <c r="J44" s="160"/>
      <c r="L44" s="130">
        <f>C$3 + 8</f>
        <v>42998</v>
      </c>
      <c r="M44" s="131"/>
      <c r="N44" s="132" t="s">
        <v>24</v>
      </c>
      <c r="O44" s="133" t="s">
        <v>15</v>
      </c>
      <c r="P44" s="133" t="s">
        <v>15</v>
      </c>
      <c r="Q44" s="134" t="s">
        <v>46</v>
      </c>
      <c r="R44" s="80" t="s">
        <v>37</v>
      </c>
    </row>
    <row r="45" spans="2:18" x14ac:dyDescent="0.25">
      <c r="B45" s="118">
        <f>$C$3 + 7</f>
        <v>42997</v>
      </c>
      <c r="C45" s="117"/>
      <c r="D45" s="110" t="s">
        <v>22</v>
      </c>
      <c r="E45" s="111" t="s">
        <v>15</v>
      </c>
      <c r="F45" s="112" t="s">
        <v>15</v>
      </c>
      <c r="G45" s="113" t="s">
        <v>47</v>
      </c>
      <c r="H45" s="154"/>
      <c r="I45" s="157"/>
      <c r="J45" s="160"/>
      <c r="L45" s="97">
        <f>C$3 + 9</f>
        <v>42999</v>
      </c>
      <c r="M45" s="114"/>
      <c r="N45" s="115" t="s">
        <v>24</v>
      </c>
      <c r="O45" s="101" t="s">
        <v>15</v>
      </c>
      <c r="P45" s="101" t="s">
        <v>15</v>
      </c>
      <c r="Q45" s="116" t="s">
        <v>46</v>
      </c>
      <c r="R45" s="80" t="s">
        <v>37</v>
      </c>
    </row>
    <row r="46" spans="2:18" ht="16.5" thickBot="1" x14ac:dyDescent="0.3">
      <c r="B46" s="118">
        <f>$C$3 + 7</f>
        <v>42997</v>
      </c>
      <c r="C46" s="137"/>
      <c r="D46" s="123" t="s">
        <v>22</v>
      </c>
      <c r="E46" s="124" t="s">
        <v>15</v>
      </c>
      <c r="F46" s="125" t="s">
        <v>15</v>
      </c>
      <c r="G46" s="126" t="s">
        <v>47</v>
      </c>
      <c r="H46" s="155"/>
      <c r="I46" s="158"/>
      <c r="J46" s="161"/>
      <c r="L46" s="118">
        <f>C$3 + 9</f>
        <v>42999</v>
      </c>
      <c r="M46" s="96"/>
      <c r="N46" s="92" t="s">
        <v>24</v>
      </c>
      <c r="O46" s="119" t="s">
        <v>15</v>
      </c>
      <c r="P46" s="119" t="s">
        <v>15</v>
      </c>
      <c r="Q46" s="120" t="s">
        <v>46</v>
      </c>
      <c r="R46" s="80" t="s">
        <v>37</v>
      </c>
    </row>
    <row r="47" spans="2:18" x14ac:dyDescent="0.25">
      <c r="B47" s="97">
        <f>$C$3 + 8</f>
        <v>42998</v>
      </c>
      <c r="C47" s="98"/>
      <c r="D47" s="99" t="s">
        <v>22</v>
      </c>
      <c r="E47" s="100" t="s">
        <v>15</v>
      </c>
      <c r="F47" s="101" t="s">
        <v>15</v>
      </c>
      <c r="G47" s="102" t="s">
        <v>47</v>
      </c>
      <c r="H47" s="153">
        <f>SUM(C47:C51)</f>
        <v>0</v>
      </c>
      <c r="I47" s="156">
        <f>$T$6-H47</f>
        <v>85</v>
      </c>
      <c r="J47" s="159">
        <f>($T$6-H47)+J42</f>
        <v>525.13</v>
      </c>
      <c r="L47" s="118">
        <f>C$3 + 9</f>
        <v>42999</v>
      </c>
      <c r="M47" s="96"/>
      <c r="N47" s="92" t="s">
        <v>24</v>
      </c>
      <c r="O47" s="119" t="s">
        <v>15</v>
      </c>
      <c r="P47" s="119" t="s">
        <v>15</v>
      </c>
      <c r="Q47" s="120" t="s">
        <v>46</v>
      </c>
      <c r="R47" s="80" t="s">
        <v>37</v>
      </c>
    </row>
    <row r="48" spans="2:18" ht="16.5" thickBot="1" x14ac:dyDescent="0.3">
      <c r="B48" s="118">
        <f>$C$3 + 8</f>
        <v>42998</v>
      </c>
      <c r="C48" s="117"/>
      <c r="D48" s="110" t="s">
        <v>22</v>
      </c>
      <c r="E48" s="111" t="s">
        <v>15</v>
      </c>
      <c r="F48" s="112" t="s">
        <v>15</v>
      </c>
      <c r="G48" s="113" t="s">
        <v>47</v>
      </c>
      <c r="H48" s="154"/>
      <c r="I48" s="157"/>
      <c r="J48" s="160"/>
      <c r="L48" s="130">
        <f>C$3 + 9</f>
        <v>42999</v>
      </c>
      <c r="M48" s="131"/>
      <c r="N48" s="132" t="s">
        <v>24</v>
      </c>
      <c r="O48" s="133" t="s">
        <v>15</v>
      </c>
      <c r="P48" s="133" t="s">
        <v>15</v>
      </c>
      <c r="Q48" s="134" t="s">
        <v>46</v>
      </c>
      <c r="R48" s="80" t="s">
        <v>37</v>
      </c>
    </row>
    <row r="49" spans="2:18" x14ac:dyDescent="0.25">
      <c r="B49" s="118">
        <f>$C$3 + 8</f>
        <v>42998</v>
      </c>
      <c r="C49" s="117"/>
      <c r="D49" s="110" t="s">
        <v>22</v>
      </c>
      <c r="E49" s="111" t="s">
        <v>15</v>
      </c>
      <c r="F49" s="112" t="s">
        <v>15</v>
      </c>
      <c r="G49" s="113" t="s">
        <v>47</v>
      </c>
      <c r="H49" s="154"/>
      <c r="I49" s="157"/>
      <c r="J49" s="160"/>
      <c r="L49" s="97">
        <f>C$3 + 10</f>
        <v>43000</v>
      </c>
      <c r="M49" s="114"/>
      <c r="N49" s="115" t="s">
        <v>24</v>
      </c>
      <c r="O49" s="101" t="s">
        <v>15</v>
      </c>
      <c r="P49" s="101" t="s">
        <v>15</v>
      </c>
      <c r="Q49" s="116" t="s">
        <v>46</v>
      </c>
      <c r="R49" s="80" t="s">
        <v>37</v>
      </c>
    </row>
    <row r="50" spans="2:18" x14ac:dyDescent="0.25">
      <c r="B50" s="118">
        <f>$C$3 + 8</f>
        <v>42998</v>
      </c>
      <c r="C50" s="117"/>
      <c r="D50" s="110" t="s">
        <v>22</v>
      </c>
      <c r="E50" s="111" t="s">
        <v>15</v>
      </c>
      <c r="F50" s="112" t="s">
        <v>15</v>
      </c>
      <c r="G50" s="113" t="s">
        <v>47</v>
      </c>
      <c r="H50" s="154"/>
      <c r="I50" s="157"/>
      <c r="J50" s="160"/>
      <c r="L50" s="118">
        <f>C$3 + 10</f>
        <v>43000</v>
      </c>
      <c r="M50" s="96"/>
      <c r="N50" s="92" t="s">
        <v>24</v>
      </c>
      <c r="O50" s="119" t="s">
        <v>15</v>
      </c>
      <c r="P50" s="119" t="s">
        <v>15</v>
      </c>
      <c r="Q50" s="120" t="s">
        <v>46</v>
      </c>
      <c r="R50" s="80" t="s">
        <v>37</v>
      </c>
    </row>
    <row r="51" spans="2:18" ht="16.5" thickBot="1" x14ac:dyDescent="0.3">
      <c r="B51" s="118">
        <f>$C$3 + 8</f>
        <v>42998</v>
      </c>
      <c r="C51" s="137"/>
      <c r="D51" s="123" t="s">
        <v>22</v>
      </c>
      <c r="E51" s="124" t="s">
        <v>15</v>
      </c>
      <c r="F51" s="125" t="s">
        <v>15</v>
      </c>
      <c r="G51" s="126" t="s">
        <v>47</v>
      </c>
      <c r="H51" s="155"/>
      <c r="I51" s="158"/>
      <c r="J51" s="161"/>
      <c r="L51" s="118">
        <f>C$3 + 10</f>
        <v>43000</v>
      </c>
      <c r="M51" s="96"/>
      <c r="N51" s="92" t="s">
        <v>24</v>
      </c>
      <c r="O51" s="119" t="s">
        <v>15</v>
      </c>
      <c r="P51" s="119" t="s">
        <v>15</v>
      </c>
      <c r="Q51" s="120" t="s">
        <v>46</v>
      </c>
      <c r="R51" s="80" t="s">
        <v>37</v>
      </c>
    </row>
    <row r="52" spans="2:18" ht="16.5" thickBot="1" x14ac:dyDescent="0.3">
      <c r="B52" s="97">
        <f>$C$3 + 9</f>
        <v>42999</v>
      </c>
      <c r="C52" s="98"/>
      <c r="D52" s="99" t="s">
        <v>22</v>
      </c>
      <c r="E52" s="100" t="s">
        <v>15</v>
      </c>
      <c r="F52" s="101" t="s">
        <v>15</v>
      </c>
      <c r="G52" s="102" t="s">
        <v>47</v>
      </c>
      <c r="H52" s="153">
        <f>SUM(C52:C56)</f>
        <v>0</v>
      </c>
      <c r="I52" s="156">
        <f>$T$6-H52</f>
        <v>85</v>
      </c>
      <c r="J52" s="159">
        <f>($T$6-H52)+J47</f>
        <v>610.13</v>
      </c>
      <c r="L52" s="130">
        <f>C$3 + 10</f>
        <v>43000</v>
      </c>
      <c r="M52" s="131"/>
      <c r="N52" s="132" t="s">
        <v>24</v>
      </c>
      <c r="O52" s="133" t="s">
        <v>15</v>
      </c>
      <c r="P52" s="133" t="s">
        <v>15</v>
      </c>
      <c r="Q52" s="134" t="s">
        <v>46</v>
      </c>
      <c r="R52" s="80" t="s">
        <v>37</v>
      </c>
    </row>
    <row r="53" spans="2:18" x14ac:dyDescent="0.25">
      <c r="B53" s="118">
        <f>$C$3 + 9</f>
        <v>42999</v>
      </c>
      <c r="C53" s="117"/>
      <c r="D53" s="110" t="s">
        <v>22</v>
      </c>
      <c r="E53" s="111" t="s">
        <v>15</v>
      </c>
      <c r="F53" s="112" t="s">
        <v>15</v>
      </c>
      <c r="G53" s="113" t="s">
        <v>47</v>
      </c>
      <c r="H53" s="154"/>
      <c r="I53" s="157"/>
      <c r="J53" s="160"/>
      <c r="L53" s="108">
        <f>C$3 + 11</f>
        <v>43001</v>
      </c>
      <c r="M53" s="139"/>
      <c r="N53" s="140" t="s">
        <v>24</v>
      </c>
      <c r="O53" s="112" t="s">
        <v>15</v>
      </c>
      <c r="P53" s="112" t="s">
        <v>15</v>
      </c>
      <c r="Q53" s="141" t="s">
        <v>46</v>
      </c>
      <c r="R53" s="80" t="s">
        <v>37</v>
      </c>
    </row>
    <row r="54" spans="2:18" x14ac:dyDescent="0.25">
      <c r="B54" s="118">
        <f>$C$3 + 9</f>
        <v>42999</v>
      </c>
      <c r="C54" s="117"/>
      <c r="D54" s="110" t="s">
        <v>22</v>
      </c>
      <c r="E54" s="111" t="s">
        <v>15</v>
      </c>
      <c r="F54" s="112" t="s">
        <v>15</v>
      </c>
      <c r="G54" s="113" t="s">
        <v>47</v>
      </c>
      <c r="H54" s="154"/>
      <c r="I54" s="157"/>
      <c r="J54" s="160"/>
      <c r="L54" s="118">
        <f>C$3 + 11</f>
        <v>43001</v>
      </c>
      <c r="M54" s="96"/>
      <c r="N54" s="92" t="s">
        <v>24</v>
      </c>
      <c r="O54" s="119" t="s">
        <v>15</v>
      </c>
      <c r="P54" s="119" t="s">
        <v>15</v>
      </c>
      <c r="Q54" s="120" t="s">
        <v>46</v>
      </c>
      <c r="R54" s="80" t="s">
        <v>37</v>
      </c>
    </row>
    <row r="55" spans="2:18" x14ac:dyDescent="0.25">
      <c r="B55" s="118">
        <f>$C$3 + 9</f>
        <v>42999</v>
      </c>
      <c r="C55" s="117"/>
      <c r="D55" s="110" t="s">
        <v>22</v>
      </c>
      <c r="E55" s="111" t="s">
        <v>15</v>
      </c>
      <c r="F55" s="112" t="s">
        <v>15</v>
      </c>
      <c r="G55" s="113" t="s">
        <v>47</v>
      </c>
      <c r="H55" s="154"/>
      <c r="I55" s="157"/>
      <c r="J55" s="160"/>
      <c r="L55" s="118">
        <f>C$3 + 11</f>
        <v>43001</v>
      </c>
      <c r="M55" s="96"/>
      <c r="N55" s="92" t="s">
        <v>24</v>
      </c>
      <c r="O55" s="119" t="s">
        <v>15</v>
      </c>
      <c r="P55" s="119" t="s">
        <v>15</v>
      </c>
      <c r="Q55" s="120" t="s">
        <v>46</v>
      </c>
      <c r="R55" s="80" t="s">
        <v>37</v>
      </c>
    </row>
    <row r="56" spans="2:18" ht="16.5" thickBot="1" x14ac:dyDescent="0.3">
      <c r="B56" s="118">
        <f>$C$3 + 9</f>
        <v>42999</v>
      </c>
      <c r="C56" s="137"/>
      <c r="D56" s="123" t="s">
        <v>22</v>
      </c>
      <c r="E56" s="124" t="s">
        <v>15</v>
      </c>
      <c r="F56" s="125" t="s">
        <v>15</v>
      </c>
      <c r="G56" s="126" t="s">
        <v>47</v>
      </c>
      <c r="H56" s="155"/>
      <c r="I56" s="158"/>
      <c r="J56" s="161"/>
      <c r="L56" s="130">
        <f>C$3 + 11</f>
        <v>43001</v>
      </c>
      <c r="M56" s="131"/>
      <c r="N56" s="132" t="s">
        <v>24</v>
      </c>
      <c r="O56" s="133" t="s">
        <v>15</v>
      </c>
      <c r="P56" s="133" t="s">
        <v>15</v>
      </c>
      <c r="Q56" s="134" t="s">
        <v>46</v>
      </c>
      <c r="R56" s="80" t="s">
        <v>37</v>
      </c>
    </row>
    <row r="57" spans="2:18" x14ac:dyDescent="0.25">
      <c r="B57" s="97">
        <f>$C$3 + 10</f>
        <v>43000</v>
      </c>
      <c r="C57" s="98"/>
      <c r="D57" s="99" t="s">
        <v>22</v>
      </c>
      <c r="E57" s="100" t="s">
        <v>15</v>
      </c>
      <c r="F57" s="101" t="s">
        <v>15</v>
      </c>
      <c r="G57" s="102" t="s">
        <v>47</v>
      </c>
      <c r="H57" s="153">
        <f>SUM(C57:C61)</f>
        <v>0</v>
      </c>
      <c r="I57" s="156">
        <f>$T$6-H57</f>
        <v>85</v>
      </c>
      <c r="J57" s="159">
        <f>($T$6-H57)+J52</f>
        <v>695.13</v>
      </c>
    </row>
    <row r="58" spans="2:18" x14ac:dyDescent="0.25">
      <c r="B58" s="118">
        <f>$C$3 + 10</f>
        <v>43000</v>
      </c>
      <c r="C58" s="117"/>
      <c r="D58" s="110" t="s">
        <v>22</v>
      </c>
      <c r="E58" s="111" t="s">
        <v>15</v>
      </c>
      <c r="F58" s="112" t="s">
        <v>15</v>
      </c>
      <c r="G58" s="113" t="s">
        <v>47</v>
      </c>
      <c r="H58" s="154"/>
      <c r="I58" s="157"/>
      <c r="J58" s="160"/>
    </row>
    <row r="59" spans="2:18" x14ac:dyDescent="0.25">
      <c r="B59" s="118">
        <f>$C$3 + 10</f>
        <v>43000</v>
      </c>
      <c r="C59" s="117"/>
      <c r="D59" s="110" t="s">
        <v>22</v>
      </c>
      <c r="E59" s="111" t="s">
        <v>15</v>
      </c>
      <c r="F59" s="112" t="s">
        <v>15</v>
      </c>
      <c r="G59" s="113" t="s">
        <v>47</v>
      </c>
      <c r="H59" s="154"/>
      <c r="I59" s="157"/>
      <c r="J59" s="160"/>
    </row>
    <row r="60" spans="2:18" x14ac:dyDescent="0.25">
      <c r="B60" s="118">
        <f>$C$3 + 10</f>
        <v>43000</v>
      </c>
      <c r="C60" s="117"/>
      <c r="D60" s="110" t="s">
        <v>22</v>
      </c>
      <c r="E60" s="111" t="s">
        <v>15</v>
      </c>
      <c r="F60" s="112" t="s">
        <v>15</v>
      </c>
      <c r="G60" s="113" t="s">
        <v>47</v>
      </c>
      <c r="H60" s="154"/>
      <c r="I60" s="157"/>
      <c r="J60" s="160"/>
    </row>
    <row r="61" spans="2:18" ht="16.5" thickBot="1" x14ac:dyDescent="0.3">
      <c r="B61" s="118">
        <f>$C$3 + 10</f>
        <v>43000</v>
      </c>
      <c r="C61" s="137"/>
      <c r="D61" s="123" t="s">
        <v>22</v>
      </c>
      <c r="E61" s="124" t="s">
        <v>15</v>
      </c>
      <c r="F61" s="125" t="s">
        <v>15</v>
      </c>
      <c r="G61" s="126" t="s">
        <v>47</v>
      </c>
      <c r="H61" s="155"/>
      <c r="I61" s="158"/>
      <c r="J61" s="161"/>
    </row>
    <row r="62" spans="2:18" x14ac:dyDescent="0.25">
      <c r="B62" s="97">
        <f>$C$3 + 11</f>
        <v>43001</v>
      </c>
      <c r="C62" s="98"/>
      <c r="D62" s="99" t="s">
        <v>22</v>
      </c>
      <c r="E62" s="100" t="s">
        <v>15</v>
      </c>
      <c r="F62" s="101" t="s">
        <v>15</v>
      </c>
      <c r="G62" s="102" t="s">
        <v>47</v>
      </c>
      <c r="H62" s="153">
        <f>SUM(C62:C66)</f>
        <v>0</v>
      </c>
      <c r="I62" s="156">
        <f>$T$6-H62</f>
        <v>85</v>
      </c>
      <c r="J62" s="159">
        <f>($T$6-H62)+J57</f>
        <v>780.13</v>
      </c>
    </row>
    <row r="63" spans="2:18" x14ac:dyDescent="0.25">
      <c r="B63" s="118">
        <f>$C$3 + 11</f>
        <v>43001</v>
      </c>
      <c r="C63" s="117"/>
      <c r="D63" s="110" t="s">
        <v>22</v>
      </c>
      <c r="E63" s="111" t="s">
        <v>15</v>
      </c>
      <c r="F63" s="112" t="s">
        <v>15</v>
      </c>
      <c r="G63" s="113" t="s">
        <v>47</v>
      </c>
      <c r="H63" s="154"/>
      <c r="I63" s="157"/>
      <c r="J63" s="160"/>
    </row>
    <row r="64" spans="2:18" x14ac:dyDescent="0.25">
      <c r="B64" s="118">
        <f>$C$3 + 11</f>
        <v>43001</v>
      </c>
      <c r="C64" s="117"/>
      <c r="D64" s="110" t="s">
        <v>22</v>
      </c>
      <c r="E64" s="111" t="s">
        <v>15</v>
      </c>
      <c r="F64" s="112" t="s">
        <v>15</v>
      </c>
      <c r="G64" s="113" t="s">
        <v>47</v>
      </c>
      <c r="H64" s="154"/>
      <c r="I64" s="157"/>
      <c r="J64" s="160"/>
    </row>
    <row r="65" spans="2:10" x14ac:dyDescent="0.25">
      <c r="B65" s="118">
        <f>$C$3 + 11</f>
        <v>43001</v>
      </c>
      <c r="C65" s="117"/>
      <c r="D65" s="110" t="s">
        <v>22</v>
      </c>
      <c r="E65" s="111" t="s">
        <v>15</v>
      </c>
      <c r="F65" s="112" t="s">
        <v>15</v>
      </c>
      <c r="G65" s="113" t="s">
        <v>47</v>
      </c>
      <c r="H65" s="154"/>
      <c r="I65" s="157"/>
      <c r="J65" s="160"/>
    </row>
    <row r="66" spans="2:10" ht="16.5" thickBot="1" x14ac:dyDescent="0.3">
      <c r="B66" s="130">
        <f>$C$3 + 11</f>
        <v>43001</v>
      </c>
      <c r="C66" s="137"/>
      <c r="D66" s="123" t="s">
        <v>22</v>
      </c>
      <c r="E66" s="124" t="s">
        <v>15</v>
      </c>
      <c r="F66" s="125" t="s">
        <v>15</v>
      </c>
      <c r="G66" s="126" t="s">
        <v>47</v>
      </c>
      <c r="H66" s="155"/>
      <c r="I66" s="158"/>
      <c r="J66" s="161"/>
    </row>
  </sheetData>
  <mergeCells count="43">
    <mergeCell ref="E2:M2"/>
    <mergeCell ref="E3:M3"/>
    <mergeCell ref="B5:J5"/>
    <mergeCell ref="L5:Q5"/>
    <mergeCell ref="S2:T2"/>
    <mergeCell ref="S3:T3"/>
    <mergeCell ref="E4:M4"/>
    <mergeCell ref="H7:H11"/>
    <mergeCell ref="I7:I11"/>
    <mergeCell ref="J7:J11"/>
    <mergeCell ref="H12:H16"/>
    <mergeCell ref="I12:I16"/>
    <mergeCell ref="J12:J16"/>
    <mergeCell ref="H17:H21"/>
    <mergeCell ref="I17:I21"/>
    <mergeCell ref="J17:J21"/>
    <mergeCell ref="H22:H26"/>
    <mergeCell ref="I22:I26"/>
    <mergeCell ref="J22:J26"/>
    <mergeCell ref="H27:H31"/>
    <mergeCell ref="I27:I31"/>
    <mergeCell ref="J27:J31"/>
    <mergeCell ref="H32:H36"/>
    <mergeCell ref="I32:I36"/>
    <mergeCell ref="J32:J36"/>
    <mergeCell ref="H37:H41"/>
    <mergeCell ref="I37:I41"/>
    <mergeCell ref="J37:J41"/>
    <mergeCell ref="H42:H46"/>
    <mergeCell ref="I42:I46"/>
    <mergeCell ref="J42:J46"/>
    <mergeCell ref="H47:H51"/>
    <mergeCell ref="I47:I51"/>
    <mergeCell ref="J47:J51"/>
    <mergeCell ref="H52:H56"/>
    <mergeCell ref="I52:I56"/>
    <mergeCell ref="J52:J56"/>
    <mergeCell ref="H57:H61"/>
    <mergeCell ref="I57:I61"/>
    <mergeCell ref="J57:J61"/>
    <mergeCell ref="H62:H66"/>
    <mergeCell ref="I62:I66"/>
    <mergeCell ref="J62:J66"/>
  </mergeCells>
  <conditionalFormatting sqref="I7:I66 T10">
    <cfRule type="cellIs" dxfId="14" priority="7" stopIfTrue="1" operator="lessThan">
      <formula>0</formula>
    </cfRule>
  </conditionalFormatting>
  <conditionalFormatting sqref="P3">
    <cfRule type="cellIs" dxfId="13" priority="4" operator="greaterThan">
      <formula>0</formula>
    </cfRule>
  </conditionalFormatting>
  <conditionalFormatting sqref="B7:J66">
    <cfRule type="expression" dxfId="12" priority="6" stopIfTrue="1">
      <formula>$B7&gt;$C$3+$T$5-1</formula>
    </cfRule>
  </conditionalFormatting>
  <conditionalFormatting sqref="L7:Q56">
    <cfRule type="expression" dxfId="11" priority="5">
      <formula>$L7&gt;$C$3+$T$5-1</formula>
    </cfRule>
  </conditionalFormatting>
  <conditionalFormatting sqref="N3">
    <cfRule type="cellIs" dxfId="10" priority="3" operator="greaterThan">
      <formula>0</formula>
    </cfRule>
  </conditionalFormatting>
  <conditionalFormatting sqref="E4">
    <cfRule type="cellIs" dxfId="9" priority="2" operator="greaterThan">
      <formula>0</formula>
    </cfRule>
  </conditionalFormatting>
  <dataValidations count="6">
    <dataValidation type="list" allowBlank="1" showInputMessage="1" showErrorMessage="1" sqref="E7:F66 O7:P56" xr:uid="{E3B9D406-394C-4A9A-9035-407FDDC3C2F8}">
      <formula1>"Yes,No"</formula1>
    </dataValidation>
    <dataValidation type="list" allowBlank="1" showInputMessage="1" showErrorMessage="1" sqref="D7:D66" xr:uid="{6C2BEAAA-1C55-4791-A699-16281A9B7EDA}">
      <formula1>"Refeição,Alimentação Hotel (NF semanal),Jantar de Equipe"</formula1>
    </dataValidation>
    <dataValidation type="list" allowBlank="1" showInputMessage="1" showErrorMessage="1" sqref="N7:N56" xr:uid="{6DBADB08-E3C2-4234-8424-D79ED07A2A85}">
      <formula1>"Taxi,Taxi (uber),Estacionamento,Prints"</formula1>
    </dataValidation>
    <dataValidation type="list" allowBlank="1" showInputMessage="1" showErrorMessage="1" sqref="Q7:Q56" xr:uid="{6E57D3CC-0DB8-4715-9D8A-55213CB2328B}">
      <formula1>expense_codes</formula1>
    </dataValidation>
    <dataValidation type="list" allowBlank="1" showInputMessage="1" showErrorMessage="1" sqref="G7:G66" xr:uid="{603D155E-D931-4CA4-80CB-896FA4F673C4}">
      <formula1>expense_codes</formula1>
    </dataValidation>
    <dataValidation type="list" allowBlank="1" showInputMessage="1" showErrorMessage="1" sqref="O3" xr:uid="{6848ED9B-1F8D-44B1-B7F7-E9BC41857E54}">
      <formula1>currencies</formula1>
    </dataValidation>
  </dataValidations>
  <pageMargins left="0.75" right="0.75" top="1" bottom="1" header="0.5" footer="0.5"/>
  <pageSetup orientation="portrait" r:id="rId1"/>
  <ignoredErrors>
    <ignoredError sqref="T12" formulaRange="1"/>
    <ignoredError sqref="C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CallReplicon">
                <anchor moveWithCells="1">
                  <from>
                    <xdr:col>18</xdr:col>
                    <xdr:colOff>276225</xdr:colOff>
                    <xdr:row>15</xdr:row>
                    <xdr:rowOff>152400</xdr:rowOff>
                  </from>
                  <to>
                    <xdr:col>19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CallRepliconAllSheets" altText="Send All Sheets">
                <anchor moveWithCells="1">
                  <from>
                    <xdr:col>18</xdr:col>
                    <xdr:colOff>276225</xdr:colOff>
                    <xdr:row>18</xdr:row>
                    <xdr:rowOff>95250</xdr:rowOff>
                  </from>
                  <to>
                    <xdr:col>19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A84E-1C53-4310-9E99-14D67545A641}">
  <sheetPr codeName="Sheet20">
    <tabColor rgb="FF92D050"/>
  </sheetPr>
  <dimension ref="B1:U66"/>
  <sheetViews>
    <sheetView topLeftCell="B1" zoomScale="90" zoomScaleNormal="90" workbookViewId="0">
      <selection activeCell="L5" sqref="L5:Q5"/>
    </sheetView>
  </sheetViews>
  <sheetFormatPr defaultColWidth="11" defaultRowHeight="15.75" outlineLevelCol="1" x14ac:dyDescent="0.25"/>
  <cols>
    <col min="1" max="1" width="1.75" customWidth="1"/>
    <col min="2" max="2" width="10.125" customWidth="1"/>
    <col min="4" max="4" width="22.875" customWidth="1"/>
    <col min="5" max="5" width="6" customWidth="1"/>
    <col min="6" max="6" width="8.75" customWidth="1"/>
    <col min="7" max="7" width="12.25" hidden="1" customWidth="1" outlineLevel="1"/>
    <col min="8" max="8" width="9.875" customWidth="1" collapsed="1"/>
    <col min="9" max="10" width="9.875" customWidth="1"/>
    <col min="11" max="11" width="1.75" customWidth="1"/>
    <col min="12" max="12" width="10.125" customWidth="1"/>
    <col min="14" max="14" width="18" customWidth="1"/>
    <col min="15" max="15" width="6.875" customWidth="1"/>
    <col min="16" max="16" width="9.25" bestFit="1" customWidth="1"/>
    <col min="17" max="17" width="11.75" hidden="1" customWidth="1" outlineLevel="1"/>
    <col min="18" max="18" width="1.625" customWidth="1" collapsed="1"/>
    <col min="19" max="19" width="13.375" customWidth="1"/>
  </cols>
  <sheetData>
    <row r="1" spans="2:21" ht="11.25" customHeight="1" x14ac:dyDescent="0.25"/>
    <row r="2" spans="2:21" x14ac:dyDescent="0.25">
      <c r="B2" s="1" t="s">
        <v>0</v>
      </c>
      <c r="C2" s="44" t="s">
        <v>33</v>
      </c>
      <c r="E2" s="169" t="s">
        <v>1</v>
      </c>
      <c r="F2" s="169"/>
      <c r="G2" s="169"/>
      <c r="H2" s="169"/>
      <c r="I2" s="169"/>
      <c r="J2" s="169"/>
      <c r="K2" s="169"/>
      <c r="L2" s="169"/>
      <c r="M2" s="169"/>
      <c r="P2" s="77" t="s">
        <v>23</v>
      </c>
      <c r="S2" s="169" t="s">
        <v>50</v>
      </c>
      <c r="T2" s="169"/>
      <c r="U2" s="169"/>
    </row>
    <row r="3" spans="2:21" x14ac:dyDescent="0.25">
      <c r="B3" s="1" t="s">
        <v>2</v>
      </c>
      <c r="C3" s="3">
        <v>42982</v>
      </c>
      <c r="E3" s="170" t="str">
        <f>$C$2 &amp;" - "&amp;Config!$D$3 &amp;" - "&amp; Config!$D$4 &amp;" - " &amp;TEXT($C$3,"YYYYMMDD")&amp;" - " &amp;TEXT($C$3+T5-1,"YYYYMMDD")</f>
        <v>2070 - YouCom Expense Sheet - Thiago Weidman - 20170904 - 20170906</v>
      </c>
      <c r="F3" s="170"/>
      <c r="G3" s="170"/>
      <c r="H3" s="170"/>
      <c r="I3" s="170"/>
      <c r="J3" s="170"/>
      <c r="K3" s="170"/>
      <c r="L3" s="170"/>
      <c r="M3" s="170"/>
      <c r="N3" s="86"/>
      <c r="P3" s="78">
        <v>64279</v>
      </c>
      <c r="S3" s="170" t="s">
        <v>51</v>
      </c>
      <c r="T3" s="170"/>
      <c r="U3" s="170"/>
    </row>
    <row r="4" spans="2:21" x14ac:dyDescent="0.25">
      <c r="B4" s="4"/>
      <c r="C4" s="5"/>
      <c r="D4" s="4"/>
      <c r="E4" s="168"/>
      <c r="F4" s="168"/>
      <c r="G4" s="168"/>
      <c r="H4" s="168"/>
      <c r="I4" s="168"/>
      <c r="J4" s="168"/>
      <c r="K4" s="168"/>
      <c r="L4" s="168"/>
      <c r="M4" s="168"/>
      <c r="N4" s="4"/>
      <c r="O4" s="4"/>
      <c r="P4" s="4"/>
      <c r="Q4" s="4"/>
      <c r="R4" s="4"/>
      <c r="S4" s="4"/>
    </row>
    <row r="5" spans="2:21" x14ac:dyDescent="0.25">
      <c r="B5" s="171" t="s">
        <v>3</v>
      </c>
      <c r="C5" s="171"/>
      <c r="D5" s="171"/>
      <c r="E5" s="171"/>
      <c r="F5" s="171"/>
      <c r="G5" s="171"/>
      <c r="H5" s="171"/>
      <c r="I5" s="171"/>
      <c r="J5" s="171"/>
      <c r="L5" s="172" t="s">
        <v>4</v>
      </c>
      <c r="M5" s="172"/>
      <c r="N5" s="172"/>
      <c r="O5" s="172"/>
      <c r="P5" s="172"/>
      <c r="Q5" s="172"/>
      <c r="R5" s="49"/>
      <c r="S5" s="6" t="s">
        <v>5</v>
      </c>
      <c r="T5" s="2">
        <v>3</v>
      </c>
    </row>
    <row r="6" spans="2:21" ht="16.5" thickBot="1" x14ac:dyDescent="0.3">
      <c r="B6" s="17" t="s">
        <v>6</v>
      </c>
      <c r="C6" s="17" t="s">
        <v>7</v>
      </c>
      <c r="D6" s="17" t="s">
        <v>8</v>
      </c>
      <c r="E6" s="17" t="s">
        <v>9</v>
      </c>
      <c r="F6" s="17" t="s">
        <v>10</v>
      </c>
      <c r="G6" s="17" t="s">
        <v>36</v>
      </c>
      <c r="H6" s="18" t="s">
        <v>11</v>
      </c>
      <c r="I6" s="18" t="s">
        <v>12</v>
      </c>
      <c r="J6" s="17" t="s">
        <v>13</v>
      </c>
      <c r="L6" s="11" t="s">
        <v>6</v>
      </c>
      <c r="M6" s="11" t="s">
        <v>7</v>
      </c>
      <c r="N6" s="11" t="s">
        <v>8</v>
      </c>
      <c r="O6" s="11" t="s">
        <v>9</v>
      </c>
      <c r="P6" s="11" t="s">
        <v>10</v>
      </c>
      <c r="Q6" s="11" t="s">
        <v>36</v>
      </c>
      <c r="S6" s="6" t="s">
        <v>14</v>
      </c>
      <c r="T6" s="7">
        <v>85</v>
      </c>
    </row>
    <row r="7" spans="2:21" ht="16.5" thickBot="1" x14ac:dyDescent="0.3">
      <c r="B7" s="12">
        <f>$C$3</f>
        <v>42982</v>
      </c>
      <c r="C7" s="40">
        <v>25</v>
      </c>
      <c r="D7" s="25" t="s">
        <v>22</v>
      </c>
      <c r="E7" s="22" t="s">
        <v>15</v>
      </c>
      <c r="F7" s="13" t="s">
        <v>15</v>
      </c>
      <c r="G7" s="74" t="s">
        <v>47</v>
      </c>
      <c r="H7" s="173">
        <f>SUM(C7:C11)</f>
        <v>85</v>
      </c>
      <c r="I7" s="176">
        <f>$T$6-H7</f>
        <v>0</v>
      </c>
      <c r="J7" s="179">
        <f>($T$6-H7)</f>
        <v>0</v>
      </c>
      <c r="L7" s="33">
        <f>C$3 + $T$5 -1</f>
        <v>42984</v>
      </c>
      <c r="M7" s="67">
        <v>225</v>
      </c>
      <c r="N7" s="68" t="s">
        <v>20</v>
      </c>
      <c r="O7" s="69" t="s">
        <v>15</v>
      </c>
      <c r="P7" s="69" t="s">
        <v>15</v>
      </c>
      <c r="Q7" s="48" t="s">
        <v>48</v>
      </c>
      <c r="R7" t="s">
        <v>37</v>
      </c>
      <c r="S7" s="6" t="s">
        <v>16</v>
      </c>
      <c r="T7" s="7">
        <f>T6*T5</f>
        <v>255</v>
      </c>
    </row>
    <row r="8" spans="2:21" ht="16.5" thickBot="1" x14ac:dyDescent="0.3">
      <c r="B8" s="14">
        <f>$C$3</f>
        <v>42982</v>
      </c>
      <c r="C8" s="41">
        <v>60</v>
      </c>
      <c r="D8" s="26" t="s">
        <v>22</v>
      </c>
      <c r="E8" s="23" t="s">
        <v>15</v>
      </c>
      <c r="F8" s="8" t="s">
        <v>15</v>
      </c>
      <c r="G8" s="75" t="s">
        <v>47</v>
      </c>
      <c r="H8" s="174"/>
      <c r="I8" s="177"/>
      <c r="J8" s="180"/>
      <c r="L8" s="33">
        <f>C$3 + $T$5 -1</f>
        <v>42984</v>
      </c>
      <c r="M8" s="67">
        <v>0</v>
      </c>
      <c r="N8" s="68" t="s">
        <v>26</v>
      </c>
      <c r="O8" s="69" t="s">
        <v>27</v>
      </c>
      <c r="P8" s="69" t="s">
        <v>27</v>
      </c>
      <c r="Q8" s="48" t="s">
        <v>49</v>
      </c>
      <c r="R8" t="s">
        <v>37</v>
      </c>
    </row>
    <row r="9" spans="2:21" x14ac:dyDescent="0.25">
      <c r="B9" s="14">
        <f>$C$3</f>
        <v>42982</v>
      </c>
      <c r="C9" s="41"/>
      <c r="D9" s="26" t="s">
        <v>22</v>
      </c>
      <c r="E9" s="23" t="s">
        <v>15</v>
      </c>
      <c r="F9" s="8" t="s">
        <v>15</v>
      </c>
      <c r="G9" s="75" t="s">
        <v>47</v>
      </c>
      <c r="H9" s="174"/>
      <c r="I9" s="177"/>
      <c r="J9" s="180"/>
      <c r="L9" s="12">
        <f>C$3</f>
        <v>42982</v>
      </c>
      <c r="M9" s="53">
        <v>20</v>
      </c>
      <c r="N9" s="54" t="s">
        <v>24</v>
      </c>
      <c r="O9" s="13" t="s">
        <v>15</v>
      </c>
      <c r="P9" s="13" t="s">
        <v>15</v>
      </c>
      <c r="Q9" s="46" t="s">
        <v>46</v>
      </c>
      <c r="R9" t="s">
        <v>37</v>
      </c>
      <c r="S9" s="6" t="s">
        <v>17</v>
      </c>
      <c r="T9" s="7">
        <f>SUM(C7:C66)</f>
        <v>200.55</v>
      </c>
    </row>
    <row r="10" spans="2:21" x14ac:dyDescent="0.25">
      <c r="B10" s="14">
        <f>$C$3</f>
        <v>42982</v>
      </c>
      <c r="C10" s="38"/>
      <c r="D10" s="26" t="s">
        <v>22</v>
      </c>
      <c r="E10" s="23" t="s">
        <v>15</v>
      </c>
      <c r="F10" s="8" t="s">
        <v>15</v>
      </c>
      <c r="G10" s="75" t="s">
        <v>47</v>
      </c>
      <c r="H10" s="174"/>
      <c r="I10" s="177"/>
      <c r="J10" s="180"/>
      <c r="L10" s="19">
        <f>C$3</f>
        <v>42982</v>
      </c>
      <c r="M10" s="50">
        <v>18.829999999999998</v>
      </c>
      <c r="N10" s="51" t="s">
        <v>25</v>
      </c>
      <c r="O10" s="52" t="s">
        <v>15</v>
      </c>
      <c r="P10" s="52" t="s">
        <v>15</v>
      </c>
      <c r="Q10" s="65" t="s">
        <v>46</v>
      </c>
      <c r="R10" t="s">
        <v>37</v>
      </c>
      <c r="S10" s="6" t="s">
        <v>12</v>
      </c>
      <c r="T10" s="7">
        <f>T7-T9</f>
        <v>54.449999999999989</v>
      </c>
    </row>
    <row r="11" spans="2:21" ht="16.5" thickBot="1" x14ac:dyDescent="0.3">
      <c r="B11" s="15">
        <f>$C$3</f>
        <v>42982</v>
      </c>
      <c r="C11" s="42"/>
      <c r="D11" s="27" t="s">
        <v>22</v>
      </c>
      <c r="E11" s="24" t="s">
        <v>15</v>
      </c>
      <c r="F11" s="16" t="s">
        <v>15</v>
      </c>
      <c r="G11" s="76" t="s">
        <v>47</v>
      </c>
      <c r="H11" s="175"/>
      <c r="I11" s="178"/>
      <c r="J11" s="181"/>
      <c r="L11" s="19">
        <f>C$3</f>
        <v>42982</v>
      </c>
      <c r="M11" s="50"/>
      <c r="N11" s="51" t="s">
        <v>24</v>
      </c>
      <c r="O11" s="52" t="s">
        <v>15</v>
      </c>
      <c r="P11" s="52" t="s">
        <v>15</v>
      </c>
      <c r="Q11" s="65" t="s">
        <v>46</v>
      </c>
      <c r="R11" t="s">
        <v>37</v>
      </c>
      <c r="S11" s="36"/>
      <c r="T11" s="35"/>
    </row>
    <row r="12" spans="2:21" ht="16.5" thickBot="1" x14ac:dyDescent="0.3">
      <c r="B12" s="12">
        <f>$C$3 +1</f>
        <v>42983</v>
      </c>
      <c r="C12" s="40">
        <v>27.15</v>
      </c>
      <c r="D12" s="25" t="s">
        <v>22</v>
      </c>
      <c r="E12" s="22" t="s">
        <v>15</v>
      </c>
      <c r="F12" s="13" t="s">
        <v>15</v>
      </c>
      <c r="G12" s="74" t="s">
        <v>47</v>
      </c>
      <c r="H12" s="173">
        <f>SUM(C12:C16)</f>
        <v>91.15</v>
      </c>
      <c r="I12" s="176">
        <f>$T$6-H12</f>
        <v>-6.1500000000000057</v>
      </c>
      <c r="J12" s="179">
        <f>($T$6-H12)+J7</f>
        <v>-6.1500000000000057</v>
      </c>
      <c r="K12" s="9"/>
      <c r="L12" s="37">
        <f>C$3</f>
        <v>42982</v>
      </c>
      <c r="M12" s="58"/>
      <c r="N12" s="59" t="s">
        <v>24</v>
      </c>
      <c r="O12" s="57" t="s">
        <v>15</v>
      </c>
      <c r="P12" s="57" t="s">
        <v>15</v>
      </c>
      <c r="Q12" s="66" t="s">
        <v>46</v>
      </c>
      <c r="R12" t="s">
        <v>37</v>
      </c>
      <c r="S12" s="6" t="s">
        <v>18</v>
      </c>
      <c r="T12" s="34">
        <f>SUM(M9:M56)</f>
        <v>144.66999999999999</v>
      </c>
    </row>
    <row r="13" spans="2:21" x14ac:dyDescent="0.25">
      <c r="B13" s="14">
        <f>$C$3 +1</f>
        <v>42983</v>
      </c>
      <c r="C13" s="38">
        <v>64</v>
      </c>
      <c r="D13" s="26" t="s">
        <v>22</v>
      </c>
      <c r="E13" s="23" t="s">
        <v>15</v>
      </c>
      <c r="F13" s="8" t="s">
        <v>15</v>
      </c>
      <c r="G13" s="75" t="s">
        <v>47</v>
      </c>
      <c r="H13" s="174"/>
      <c r="I13" s="177"/>
      <c r="J13" s="180"/>
      <c r="K13" s="9"/>
      <c r="L13" s="12">
        <f>C$3 + 1</f>
        <v>42983</v>
      </c>
      <c r="M13" s="53">
        <v>9.7899999999999991</v>
      </c>
      <c r="N13" s="54" t="s">
        <v>25</v>
      </c>
      <c r="O13" s="13" t="s">
        <v>15</v>
      </c>
      <c r="P13" s="13" t="s">
        <v>15</v>
      </c>
      <c r="Q13" s="46" t="s">
        <v>46</v>
      </c>
      <c r="R13" t="s">
        <v>37</v>
      </c>
      <c r="S13" s="6" t="s">
        <v>20</v>
      </c>
      <c r="T13" s="34">
        <f>SUM(M7)</f>
        <v>225</v>
      </c>
    </row>
    <row r="14" spans="2:21" x14ac:dyDescent="0.25">
      <c r="B14" s="14">
        <f>$C$3 +1</f>
        <v>42983</v>
      </c>
      <c r="C14" s="38"/>
      <c r="D14" s="26" t="s">
        <v>22</v>
      </c>
      <c r="E14" s="23" t="s">
        <v>15</v>
      </c>
      <c r="F14" s="8" t="s">
        <v>15</v>
      </c>
      <c r="G14" s="75" t="s">
        <v>47</v>
      </c>
      <c r="H14" s="174"/>
      <c r="I14" s="177"/>
      <c r="J14" s="180"/>
      <c r="K14" s="9"/>
      <c r="L14" s="19">
        <f>C$3 + 1</f>
        <v>42983</v>
      </c>
      <c r="M14" s="50">
        <v>9.32</v>
      </c>
      <c r="N14" s="51" t="s">
        <v>25</v>
      </c>
      <c r="O14" s="52" t="s">
        <v>15</v>
      </c>
      <c r="P14" s="52" t="s">
        <v>15</v>
      </c>
      <c r="Q14" s="65" t="s">
        <v>46</v>
      </c>
      <c r="R14" t="s">
        <v>37</v>
      </c>
      <c r="T14" s="35"/>
    </row>
    <row r="15" spans="2:21" x14ac:dyDescent="0.25">
      <c r="B15" s="14">
        <f>$C$3 +1</f>
        <v>42983</v>
      </c>
      <c r="C15" s="43"/>
      <c r="D15" s="26" t="s">
        <v>22</v>
      </c>
      <c r="E15" s="23" t="s">
        <v>15</v>
      </c>
      <c r="F15" s="8" t="s">
        <v>15</v>
      </c>
      <c r="G15" s="75" t="s">
        <v>47</v>
      </c>
      <c r="H15" s="174"/>
      <c r="I15" s="177"/>
      <c r="J15" s="180"/>
      <c r="K15" s="9"/>
      <c r="L15" s="19">
        <f>C$3 + 1</f>
        <v>42983</v>
      </c>
      <c r="M15" s="50"/>
      <c r="N15" s="51" t="s">
        <v>25</v>
      </c>
      <c r="O15" s="52" t="s">
        <v>15</v>
      </c>
      <c r="P15" s="52" t="s">
        <v>15</v>
      </c>
      <c r="Q15" s="65" t="s">
        <v>46</v>
      </c>
      <c r="R15" t="s">
        <v>37</v>
      </c>
      <c r="S15" s="6" t="s">
        <v>19</v>
      </c>
      <c r="T15" s="34">
        <f>T12+T9+T13</f>
        <v>570.22</v>
      </c>
    </row>
    <row r="16" spans="2:21" ht="16.5" thickBot="1" x14ac:dyDescent="0.3">
      <c r="B16" s="15">
        <f>$C$3 +1</f>
        <v>42983</v>
      </c>
      <c r="C16" s="39"/>
      <c r="D16" s="27" t="s">
        <v>22</v>
      </c>
      <c r="E16" s="24" t="s">
        <v>15</v>
      </c>
      <c r="F16" s="16" t="s">
        <v>15</v>
      </c>
      <c r="G16" s="76" t="s">
        <v>47</v>
      </c>
      <c r="H16" s="175"/>
      <c r="I16" s="178"/>
      <c r="J16" s="181"/>
      <c r="L16" s="37">
        <f>C$3 + 1</f>
        <v>42983</v>
      </c>
      <c r="M16" s="55">
        <v>21</v>
      </c>
      <c r="N16" s="56" t="s">
        <v>24</v>
      </c>
      <c r="O16" s="57" t="s">
        <v>15</v>
      </c>
      <c r="P16" s="57" t="s">
        <v>15</v>
      </c>
      <c r="Q16" s="66" t="s">
        <v>46</v>
      </c>
      <c r="R16" t="s">
        <v>37</v>
      </c>
    </row>
    <row r="17" spans="2:20" x14ac:dyDescent="0.25">
      <c r="B17" s="12">
        <f>$C$3 +2</f>
        <v>42984</v>
      </c>
      <c r="C17" s="40">
        <v>15.9</v>
      </c>
      <c r="D17" s="25" t="s">
        <v>22</v>
      </c>
      <c r="E17" s="22" t="s">
        <v>15</v>
      </c>
      <c r="F17" s="13" t="s">
        <v>15</v>
      </c>
      <c r="G17" s="74" t="s">
        <v>47</v>
      </c>
      <c r="H17" s="173">
        <f>SUM(C17:C21)</f>
        <v>24.4</v>
      </c>
      <c r="I17" s="176">
        <f>$T$6-H17</f>
        <v>60.6</v>
      </c>
      <c r="J17" s="179">
        <f>($T$6-H17)+J12</f>
        <v>54.449999999999996</v>
      </c>
      <c r="L17" s="12">
        <f>C$3 + 2</f>
        <v>42984</v>
      </c>
      <c r="M17" s="79">
        <v>44.73</v>
      </c>
      <c r="N17" s="63" t="s">
        <v>25</v>
      </c>
      <c r="O17" s="13" t="s">
        <v>15</v>
      </c>
      <c r="P17" s="13" t="s">
        <v>15</v>
      </c>
      <c r="Q17" s="46" t="s">
        <v>46</v>
      </c>
      <c r="R17" t="s">
        <v>37</v>
      </c>
      <c r="T17" s="10"/>
    </row>
    <row r="18" spans="2:20" x14ac:dyDescent="0.25">
      <c r="B18" s="14">
        <f>$C$3 +2</f>
        <v>42984</v>
      </c>
      <c r="C18" s="20">
        <v>6</v>
      </c>
      <c r="D18" s="26" t="s">
        <v>34</v>
      </c>
      <c r="E18" s="23" t="s">
        <v>15</v>
      </c>
      <c r="F18" s="8" t="s">
        <v>15</v>
      </c>
      <c r="G18" s="75" t="s">
        <v>47</v>
      </c>
      <c r="H18" s="174"/>
      <c r="I18" s="177"/>
      <c r="J18" s="180"/>
      <c r="L18" s="19">
        <f>C$3 + 2</f>
        <v>42984</v>
      </c>
      <c r="M18" s="7">
        <v>21</v>
      </c>
      <c r="N18" s="2" t="s">
        <v>24</v>
      </c>
      <c r="O18" s="52" t="s">
        <v>15</v>
      </c>
      <c r="P18" s="52" t="s">
        <v>15</v>
      </c>
      <c r="Q18" s="65" t="s">
        <v>46</v>
      </c>
      <c r="R18" t="s">
        <v>37</v>
      </c>
      <c r="T18" s="10"/>
    </row>
    <row r="19" spans="2:20" x14ac:dyDescent="0.25">
      <c r="B19" s="14">
        <f>$C$3 +2</f>
        <v>42984</v>
      </c>
      <c r="C19" s="20">
        <v>2.5</v>
      </c>
      <c r="D19" s="26" t="s">
        <v>22</v>
      </c>
      <c r="E19" s="23" t="s">
        <v>15</v>
      </c>
      <c r="F19" s="8" t="s">
        <v>15</v>
      </c>
      <c r="G19" s="75" t="s">
        <v>47</v>
      </c>
      <c r="H19" s="174"/>
      <c r="I19" s="177"/>
      <c r="J19" s="180"/>
      <c r="L19" s="19">
        <f>C$3 + 2</f>
        <v>42984</v>
      </c>
      <c r="M19" s="7"/>
      <c r="N19" s="2" t="s">
        <v>24</v>
      </c>
      <c r="O19" s="52" t="s">
        <v>15</v>
      </c>
      <c r="P19" s="52" t="s">
        <v>15</v>
      </c>
      <c r="Q19" s="65" t="s">
        <v>46</v>
      </c>
      <c r="R19" t="s">
        <v>37</v>
      </c>
      <c r="T19" s="10"/>
    </row>
    <row r="20" spans="2:20" ht="16.5" thickBot="1" x14ac:dyDescent="0.3">
      <c r="B20" s="14">
        <f>$C$3 +2</f>
        <v>42984</v>
      </c>
      <c r="C20" s="20"/>
      <c r="D20" s="26" t="s">
        <v>22</v>
      </c>
      <c r="E20" s="23" t="s">
        <v>15</v>
      </c>
      <c r="F20" s="8" t="s">
        <v>15</v>
      </c>
      <c r="G20" s="75" t="s">
        <v>47</v>
      </c>
      <c r="H20" s="174"/>
      <c r="I20" s="177"/>
      <c r="J20" s="180"/>
      <c r="L20" s="37">
        <f>C$3 + 2</f>
        <v>42984</v>
      </c>
      <c r="M20" s="55"/>
      <c r="N20" s="56" t="s">
        <v>25</v>
      </c>
      <c r="O20" s="57" t="s">
        <v>15</v>
      </c>
      <c r="P20" s="57" t="s">
        <v>15</v>
      </c>
      <c r="Q20" s="66" t="s">
        <v>46</v>
      </c>
      <c r="R20" t="s">
        <v>37</v>
      </c>
      <c r="T20" s="10"/>
    </row>
    <row r="21" spans="2:20" ht="16.5" thickBot="1" x14ac:dyDescent="0.3">
      <c r="B21" s="15">
        <f>$C$3 +2</f>
        <v>42984</v>
      </c>
      <c r="C21" s="21"/>
      <c r="D21" s="27" t="s">
        <v>22</v>
      </c>
      <c r="E21" s="24" t="s">
        <v>15</v>
      </c>
      <c r="F21" s="16" t="s">
        <v>15</v>
      </c>
      <c r="G21" s="76" t="s">
        <v>47</v>
      </c>
      <c r="H21" s="175"/>
      <c r="I21" s="178"/>
      <c r="J21" s="181"/>
      <c r="L21" s="12">
        <f>C$3 + 3</f>
        <v>42985</v>
      </c>
      <c r="M21" s="62"/>
      <c r="N21" s="63" t="s">
        <v>24</v>
      </c>
      <c r="O21" s="13" t="s">
        <v>15</v>
      </c>
      <c r="P21" s="13" t="s">
        <v>15</v>
      </c>
      <c r="Q21" s="46" t="s">
        <v>46</v>
      </c>
      <c r="R21" t="s">
        <v>37</v>
      </c>
    </row>
    <row r="22" spans="2:20" x14ac:dyDescent="0.25">
      <c r="B22" s="12">
        <f>$C$3 + 3</f>
        <v>42985</v>
      </c>
      <c r="C22" s="28"/>
      <c r="D22" s="25" t="s">
        <v>22</v>
      </c>
      <c r="E22" s="22" t="s">
        <v>15</v>
      </c>
      <c r="F22" s="13" t="s">
        <v>15</v>
      </c>
      <c r="G22" s="74" t="s">
        <v>47</v>
      </c>
      <c r="H22" s="173">
        <f>SUM(C22:C26)</f>
        <v>0</v>
      </c>
      <c r="I22" s="176">
        <f>$T$6-H22</f>
        <v>85</v>
      </c>
      <c r="J22" s="179">
        <f>($T$6-H22)+J17</f>
        <v>139.44999999999999</v>
      </c>
      <c r="L22" s="19">
        <f>C$3 + 3</f>
        <v>42985</v>
      </c>
      <c r="M22" s="7"/>
      <c r="N22" s="2" t="s">
        <v>24</v>
      </c>
      <c r="O22" s="52" t="s">
        <v>15</v>
      </c>
      <c r="P22" s="52" t="s">
        <v>15</v>
      </c>
      <c r="Q22" s="65" t="s">
        <v>46</v>
      </c>
      <c r="R22" t="s">
        <v>37</v>
      </c>
    </row>
    <row r="23" spans="2:20" x14ac:dyDescent="0.25">
      <c r="B23" s="14">
        <f>$C$3 + 3</f>
        <v>42985</v>
      </c>
      <c r="C23" s="20"/>
      <c r="D23" s="26" t="s">
        <v>22</v>
      </c>
      <c r="E23" s="23" t="s">
        <v>15</v>
      </c>
      <c r="F23" s="8" t="s">
        <v>15</v>
      </c>
      <c r="G23" s="75" t="s">
        <v>47</v>
      </c>
      <c r="H23" s="174"/>
      <c r="I23" s="177"/>
      <c r="J23" s="180"/>
      <c r="L23" s="19">
        <f>C$3 + 3</f>
        <v>42985</v>
      </c>
      <c r="M23" s="7"/>
      <c r="N23" s="2" t="s">
        <v>24</v>
      </c>
      <c r="O23" s="52" t="s">
        <v>15</v>
      </c>
      <c r="P23" s="52" t="s">
        <v>15</v>
      </c>
      <c r="Q23" s="65" t="s">
        <v>46</v>
      </c>
      <c r="R23" t="s">
        <v>37</v>
      </c>
    </row>
    <row r="24" spans="2:20" ht="16.5" thickBot="1" x14ac:dyDescent="0.3">
      <c r="B24" s="14">
        <f>$C$3 + 3</f>
        <v>42985</v>
      </c>
      <c r="C24" s="20"/>
      <c r="D24" s="26" t="s">
        <v>22</v>
      </c>
      <c r="E24" s="23" t="s">
        <v>15</v>
      </c>
      <c r="F24" s="8" t="s">
        <v>15</v>
      </c>
      <c r="G24" s="75" t="s">
        <v>47</v>
      </c>
      <c r="H24" s="174"/>
      <c r="I24" s="177"/>
      <c r="J24" s="180"/>
      <c r="L24" s="37">
        <f>C$3 + 3</f>
        <v>42985</v>
      </c>
      <c r="M24" s="56"/>
      <c r="N24" s="56" t="s">
        <v>25</v>
      </c>
      <c r="O24" s="57" t="s">
        <v>15</v>
      </c>
      <c r="P24" s="57" t="s">
        <v>15</v>
      </c>
      <c r="Q24" s="66" t="s">
        <v>46</v>
      </c>
      <c r="R24" t="s">
        <v>37</v>
      </c>
    </row>
    <row r="25" spans="2:20" x14ac:dyDescent="0.25">
      <c r="B25" s="14">
        <f>$C$3 + 3</f>
        <v>42985</v>
      </c>
      <c r="C25" s="20"/>
      <c r="D25" s="26" t="s">
        <v>22</v>
      </c>
      <c r="E25" s="23" t="s">
        <v>15</v>
      </c>
      <c r="F25" s="8" t="s">
        <v>15</v>
      </c>
      <c r="G25" s="75" t="s">
        <v>47</v>
      </c>
      <c r="H25" s="174"/>
      <c r="I25" s="177"/>
      <c r="J25" s="180"/>
      <c r="L25" s="12">
        <f>C$3 + 4</f>
        <v>42986</v>
      </c>
      <c r="M25" s="62"/>
      <c r="N25" s="63" t="s">
        <v>24</v>
      </c>
      <c r="O25" s="13" t="s">
        <v>15</v>
      </c>
      <c r="P25" s="13" t="s">
        <v>15</v>
      </c>
      <c r="Q25" s="46" t="s">
        <v>46</v>
      </c>
      <c r="R25" t="s">
        <v>37</v>
      </c>
    </row>
    <row r="26" spans="2:20" ht="16.5" thickBot="1" x14ac:dyDescent="0.3">
      <c r="B26" s="15">
        <f>$C$3 + 3</f>
        <v>42985</v>
      </c>
      <c r="C26" s="21"/>
      <c r="D26" s="27" t="s">
        <v>22</v>
      </c>
      <c r="E26" s="24" t="s">
        <v>15</v>
      </c>
      <c r="F26" s="16" t="s">
        <v>15</v>
      </c>
      <c r="G26" s="76" t="s">
        <v>47</v>
      </c>
      <c r="H26" s="175"/>
      <c r="I26" s="178"/>
      <c r="J26" s="181"/>
      <c r="L26" s="19">
        <f>C$3 + 4</f>
        <v>42986</v>
      </c>
      <c r="M26" s="7"/>
      <c r="N26" s="2" t="s">
        <v>24</v>
      </c>
      <c r="O26" s="52" t="s">
        <v>15</v>
      </c>
      <c r="P26" s="52" t="s">
        <v>15</v>
      </c>
      <c r="Q26" s="65" t="s">
        <v>46</v>
      </c>
      <c r="R26" t="s">
        <v>37</v>
      </c>
    </row>
    <row r="27" spans="2:20" x14ac:dyDescent="0.25">
      <c r="B27" s="12">
        <f>$C$3 + 4</f>
        <v>42986</v>
      </c>
      <c r="C27" s="28"/>
      <c r="D27" s="25" t="s">
        <v>34</v>
      </c>
      <c r="E27" s="22" t="s">
        <v>15</v>
      </c>
      <c r="F27" s="13" t="s">
        <v>15</v>
      </c>
      <c r="G27" s="74" t="s">
        <v>47</v>
      </c>
      <c r="H27" s="173">
        <f>SUM(C27:C31)</f>
        <v>0</v>
      </c>
      <c r="I27" s="176">
        <f>$T$6-H27</f>
        <v>85</v>
      </c>
      <c r="J27" s="179">
        <f>($T$6-H27)+J22</f>
        <v>224.45</v>
      </c>
      <c r="L27" s="19">
        <f>C$3 + 4</f>
        <v>42986</v>
      </c>
      <c r="M27" s="7"/>
      <c r="N27" s="2" t="s">
        <v>25</v>
      </c>
      <c r="O27" s="52" t="s">
        <v>15</v>
      </c>
      <c r="P27" s="52" t="s">
        <v>15</v>
      </c>
      <c r="Q27" s="65" t="s">
        <v>46</v>
      </c>
      <c r="R27" t="s">
        <v>37</v>
      </c>
    </row>
    <row r="28" spans="2:20" ht="16.5" thickBot="1" x14ac:dyDescent="0.3">
      <c r="B28" s="19">
        <f>$C$3 + 4</f>
        <v>42986</v>
      </c>
      <c r="C28" s="20"/>
      <c r="D28" s="26" t="s">
        <v>22</v>
      </c>
      <c r="E28" s="23" t="s">
        <v>15</v>
      </c>
      <c r="F28" s="8" t="s">
        <v>15</v>
      </c>
      <c r="G28" s="75" t="s">
        <v>47</v>
      </c>
      <c r="H28" s="174"/>
      <c r="I28" s="177"/>
      <c r="J28" s="180"/>
      <c r="L28" s="37">
        <f>C$3 + 4</f>
        <v>42986</v>
      </c>
      <c r="M28" s="55"/>
      <c r="N28" s="56" t="s">
        <v>24</v>
      </c>
      <c r="O28" s="57" t="s">
        <v>15</v>
      </c>
      <c r="P28" s="57" t="s">
        <v>15</v>
      </c>
      <c r="Q28" s="66" t="s">
        <v>46</v>
      </c>
      <c r="R28" t="s">
        <v>37</v>
      </c>
    </row>
    <row r="29" spans="2:20" x14ac:dyDescent="0.25">
      <c r="B29" s="19">
        <f>$C$3 + 4</f>
        <v>42986</v>
      </c>
      <c r="C29" s="20"/>
      <c r="D29" s="26" t="s">
        <v>22</v>
      </c>
      <c r="E29" s="23" t="s">
        <v>15</v>
      </c>
      <c r="F29" s="8" t="s">
        <v>15</v>
      </c>
      <c r="G29" s="75" t="s">
        <v>47</v>
      </c>
      <c r="H29" s="174"/>
      <c r="I29" s="177"/>
      <c r="J29" s="180"/>
      <c r="L29" s="12">
        <f>C$3 + 5</f>
        <v>42987</v>
      </c>
      <c r="M29" s="62"/>
      <c r="N29" s="63" t="s">
        <v>24</v>
      </c>
      <c r="O29" s="13" t="s">
        <v>15</v>
      </c>
      <c r="P29" s="13" t="s">
        <v>15</v>
      </c>
      <c r="Q29" s="46" t="s">
        <v>46</v>
      </c>
      <c r="R29" t="s">
        <v>37</v>
      </c>
    </row>
    <row r="30" spans="2:20" x14ac:dyDescent="0.25">
      <c r="B30" s="19">
        <f>$C$3 + 4</f>
        <v>42986</v>
      </c>
      <c r="C30" s="20"/>
      <c r="D30" s="26" t="s">
        <v>22</v>
      </c>
      <c r="E30" s="23" t="s">
        <v>15</v>
      </c>
      <c r="F30" s="8" t="s">
        <v>15</v>
      </c>
      <c r="G30" s="75" t="s">
        <v>47</v>
      </c>
      <c r="H30" s="174"/>
      <c r="I30" s="177"/>
      <c r="J30" s="180"/>
      <c r="L30" s="19">
        <f>C$3 + 5</f>
        <v>42987</v>
      </c>
      <c r="M30" s="7"/>
      <c r="N30" s="2" t="s">
        <v>24</v>
      </c>
      <c r="O30" s="52" t="s">
        <v>15</v>
      </c>
      <c r="P30" s="52" t="s">
        <v>15</v>
      </c>
      <c r="Q30" s="65" t="s">
        <v>46</v>
      </c>
      <c r="R30" t="s">
        <v>37</v>
      </c>
    </row>
    <row r="31" spans="2:20" ht="16.5" thickBot="1" x14ac:dyDescent="0.3">
      <c r="B31" s="15">
        <f>$C$3 + 4</f>
        <v>42986</v>
      </c>
      <c r="C31" s="21"/>
      <c r="D31" s="27" t="s">
        <v>22</v>
      </c>
      <c r="E31" s="24" t="s">
        <v>15</v>
      </c>
      <c r="F31" s="16" t="s">
        <v>15</v>
      </c>
      <c r="G31" s="76" t="s">
        <v>47</v>
      </c>
      <c r="H31" s="175"/>
      <c r="I31" s="178"/>
      <c r="J31" s="181"/>
      <c r="L31" s="19">
        <f>C$3 + 5</f>
        <v>42987</v>
      </c>
      <c r="M31" s="7"/>
      <c r="N31" s="2" t="s">
        <v>25</v>
      </c>
      <c r="O31" s="52" t="s">
        <v>15</v>
      </c>
      <c r="P31" s="52" t="s">
        <v>15</v>
      </c>
      <c r="Q31" s="65" t="s">
        <v>46</v>
      </c>
      <c r="R31" t="s">
        <v>37</v>
      </c>
    </row>
    <row r="32" spans="2:20" ht="16.5" thickBot="1" x14ac:dyDescent="0.3">
      <c r="B32" s="12">
        <f>$C$3 + 5</f>
        <v>42987</v>
      </c>
      <c r="C32" s="28"/>
      <c r="D32" s="25" t="s">
        <v>22</v>
      </c>
      <c r="E32" s="22" t="s">
        <v>15</v>
      </c>
      <c r="F32" s="13" t="s">
        <v>15</v>
      </c>
      <c r="G32" s="74" t="s">
        <v>47</v>
      </c>
      <c r="H32" s="173">
        <f>SUM(C32:C36)</f>
        <v>0</v>
      </c>
      <c r="I32" s="176">
        <f>$T$6-H32</f>
        <v>85</v>
      </c>
      <c r="J32" s="179">
        <f>($T$6-H32)+J27</f>
        <v>309.45</v>
      </c>
      <c r="L32" s="37">
        <f>C$3 + 5</f>
        <v>42987</v>
      </c>
      <c r="M32" s="55"/>
      <c r="N32" s="56" t="s">
        <v>24</v>
      </c>
      <c r="O32" s="57" t="s">
        <v>15</v>
      </c>
      <c r="P32" s="57" t="s">
        <v>15</v>
      </c>
      <c r="Q32" s="66" t="s">
        <v>46</v>
      </c>
      <c r="R32" t="s">
        <v>37</v>
      </c>
    </row>
    <row r="33" spans="2:18" x14ac:dyDescent="0.25">
      <c r="B33" s="19">
        <f>$C$3 + 5</f>
        <v>42987</v>
      </c>
      <c r="C33" s="20"/>
      <c r="D33" s="26" t="s">
        <v>22</v>
      </c>
      <c r="E33" s="23" t="s">
        <v>15</v>
      </c>
      <c r="F33" s="8" t="s">
        <v>15</v>
      </c>
      <c r="G33" s="75" t="s">
        <v>47</v>
      </c>
      <c r="H33" s="174"/>
      <c r="I33" s="177"/>
      <c r="J33" s="180"/>
      <c r="L33" s="12">
        <f>C$3 + 6</f>
        <v>42988</v>
      </c>
      <c r="M33" s="62"/>
      <c r="N33" s="63" t="s">
        <v>24</v>
      </c>
      <c r="O33" s="13" t="s">
        <v>15</v>
      </c>
      <c r="P33" s="13" t="s">
        <v>15</v>
      </c>
      <c r="Q33" s="46" t="s">
        <v>46</v>
      </c>
      <c r="R33" t="s">
        <v>37</v>
      </c>
    </row>
    <row r="34" spans="2:18" x14ac:dyDescent="0.25">
      <c r="B34" s="19">
        <f>$C$3 + 5</f>
        <v>42987</v>
      </c>
      <c r="C34" s="20"/>
      <c r="D34" s="26" t="s">
        <v>22</v>
      </c>
      <c r="E34" s="23" t="s">
        <v>15</v>
      </c>
      <c r="F34" s="8" t="s">
        <v>15</v>
      </c>
      <c r="G34" s="75" t="s">
        <v>47</v>
      </c>
      <c r="H34" s="174"/>
      <c r="I34" s="177"/>
      <c r="J34" s="180"/>
      <c r="L34" s="19">
        <f>C$3 + 6</f>
        <v>42988</v>
      </c>
      <c r="M34" s="7"/>
      <c r="N34" s="2" t="s">
        <v>24</v>
      </c>
      <c r="O34" s="52" t="s">
        <v>15</v>
      </c>
      <c r="P34" s="52" t="s">
        <v>15</v>
      </c>
      <c r="Q34" s="65" t="s">
        <v>46</v>
      </c>
      <c r="R34" t="s">
        <v>37</v>
      </c>
    </row>
    <row r="35" spans="2:18" x14ac:dyDescent="0.25">
      <c r="B35" s="19">
        <f>$C$3 + 5</f>
        <v>42987</v>
      </c>
      <c r="C35" s="20"/>
      <c r="D35" s="26" t="s">
        <v>22</v>
      </c>
      <c r="E35" s="23" t="s">
        <v>15</v>
      </c>
      <c r="F35" s="8" t="s">
        <v>15</v>
      </c>
      <c r="G35" s="75" t="s">
        <v>47</v>
      </c>
      <c r="H35" s="174"/>
      <c r="I35" s="177"/>
      <c r="J35" s="180"/>
      <c r="L35" s="19">
        <f>C$3 + 6</f>
        <v>42988</v>
      </c>
      <c r="M35" s="7"/>
      <c r="N35" s="2" t="s">
        <v>24</v>
      </c>
      <c r="O35" s="52" t="s">
        <v>15</v>
      </c>
      <c r="P35" s="52" t="s">
        <v>15</v>
      </c>
      <c r="Q35" s="65" t="s">
        <v>46</v>
      </c>
      <c r="R35" t="s">
        <v>37</v>
      </c>
    </row>
    <row r="36" spans="2:18" ht="16.5" thickBot="1" x14ac:dyDescent="0.3">
      <c r="B36" s="19">
        <f>$C$3 + 5</f>
        <v>42987</v>
      </c>
      <c r="C36" s="21"/>
      <c r="D36" s="27" t="s">
        <v>22</v>
      </c>
      <c r="E36" s="24" t="s">
        <v>15</v>
      </c>
      <c r="F36" s="16" t="s">
        <v>15</v>
      </c>
      <c r="G36" s="76" t="s">
        <v>47</v>
      </c>
      <c r="H36" s="175"/>
      <c r="I36" s="178"/>
      <c r="J36" s="181"/>
      <c r="L36" s="37">
        <f>C$3 + 6</f>
        <v>42988</v>
      </c>
      <c r="M36" s="55"/>
      <c r="N36" s="56" t="s">
        <v>24</v>
      </c>
      <c r="O36" s="57" t="s">
        <v>15</v>
      </c>
      <c r="P36" s="57" t="s">
        <v>15</v>
      </c>
      <c r="Q36" s="66" t="s">
        <v>46</v>
      </c>
      <c r="R36" t="s">
        <v>37</v>
      </c>
    </row>
    <row r="37" spans="2:18" x14ac:dyDescent="0.25">
      <c r="B37" s="12">
        <f>$C$3 + 6</f>
        <v>42988</v>
      </c>
      <c r="C37" s="28"/>
      <c r="D37" s="25" t="s">
        <v>22</v>
      </c>
      <c r="E37" s="22" t="s">
        <v>15</v>
      </c>
      <c r="F37" s="13" t="s">
        <v>15</v>
      </c>
      <c r="G37" s="74" t="s">
        <v>47</v>
      </c>
      <c r="H37" s="173">
        <f>SUM(C37:C41)</f>
        <v>0</v>
      </c>
      <c r="I37" s="176">
        <f>$T$6-H37</f>
        <v>85</v>
      </c>
      <c r="J37" s="179">
        <f>($T$6-H37)+J32</f>
        <v>394.45</v>
      </c>
      <c r="L37" s="12">
        <f>C$3 + 7</f>
        <v>42989</v>
      </c>
      <c r="M37" s="64"/>
      <c r="N37" s="63" t="s">
        <v>25</v>
      </c>
      <c r="O37" s="13" t="s">
        <v>15</v>
      </c>
      <c r="P37" s="13" t="s">
        <v>15</v>
      </c>
      <c r="Q37" s="46" t="s">
        <v>46</v>
      </c>
      <c r="R37" t="s">
        <v>37</v>
      </c>
    </row>
    <row r="38" spans="2:18" x14ac:dyDescent="0.25">
      <c r="B38" s="19">
        <f>$C$3 + 6</f>
        <v>42988</v>
      </c>
      <c r="C38" s="20"/>
      <c r="D38" s="26" t="s">
        <v>22</v>
      </c>
      <c r="E38" s="23" t="s">
        <v>15</v>
      </c>
      <c r="F38" s="8" t="s">
        <v>15</v>
      </c>
      <c r="G38" s="75" t="s">
        <v>47</v>
      </c>
      <c r="H38" s="174"/>
      <c r="I38" s="177"/>
      <c r="J38" s="180"/>
      <c r="L38" s="19">
        <f>C$3 + 7</f>
        <v>42989</v>
      </c>
      <c r="M38" s="7"/>
      <c r="N38" s="2" t="s">
        <v>24</v>
      </c>
      <c r="O38" s="52" t="s">
        <v>15</v>
      </c>
      <c r="P38" s="52" t="s">
        <v>15</v>
      </c>
      <c r="Q38" s="65" t="s">
        <v>46</v>
      </c>
      <c r="R38" t="s">
        <v>37</v>
      </c>
    </row>
    <row r="39" spans="2:18" x14ac:dyDescent="0.25">
      <c r="B39" s="19">
        <f>$C$3 + 6</f>
        <v>42988</v>
      </c>
      <c r="C39" s="20"/>
      <c r="D39" s="26" t="s">
        <v>22</v>
      </c>
      <c r="E39" s="23" t="s">
        <v>15</v>
      </c>
      <c r="F39" s="8" t="s">
        <v>15</v>
      </c>
      <c r="G39" s="75" t="s">
        <v>47</v>
      </c>
      <c r="H39" s="174"/>
      <c r="I39" s="177"/>
      <c r="J39" s="180"/>
      <c r="L39" s="19">
        <f>C$3 + 7</f>
        <v>42989</v>
      </c>
      <c r="M39" s="7"/>
      <c r="N39" s="2" t="s">
        <v>24</v>
      </c>
      <c r="O39" s="52" t="s">
        <v>15</v>
      </c>
      <c r="P39" s="52" t="s">
        <v>15</v>
      </c>
      <c r="Q39" s="65" t="s">
        <v>46</v>
      </c>
      <c r="R39" t="s">
        <v>37</v>
      </c>
    </row>
    <row r="40" spans="2:18" ht="16.5" thickBot="1" x14ac:dyDescent="0.3">
      <c r="B40" s="19">
        <f>$C$3 + 6</f>
        <v>42988</v>
      </c>
      <c r="C40" s="20"/>
      <c r="D40" s="26" t="s">
        <v>22</v>
      </c>
      <c r="E40" s="23" t="s">
        <v>15</v>
      </c>
      <c r="F40" s="8" t="s">
        <v>15</v>
      </c>
      <c r="G40" s="75" t="s">
        <v>47</v>
      </c>
      <c r="H40" s="174"/>
      <c r="I40" s="177"/>
      <c r="J40" s="180"/>
      <c r="L40" s="37">
        <f>C$3 + 7</f>
        <v>42989</v>
      </c>
      <c r="M40" s="55"/>
      <c r="N40" s="56" t="s">
        <v>25</v>
      </c>
      <c r="O40" s="57" t="s">
        <v>15</v>
      </c>
      <c r="P40" s="57" t="s">
        <v>15</v>
      </c>
      <c r="Q40" s="66" t="s">
        <v>46</v>
      </c>
      <c r="R40" t="s">
        <v>37</v>
      </c>
    </row>
    <row r="41" spans="2:18" ht="16.5" thickBot="1" x14ac:dyDescent="0.3">
      <c r="B41" s="19">
        <f>$C$3 + 6</f>
        <v>42988</v>
      </c>
      <c r="C41" s="21"/>
      <c r="D41" s="27" t="s">
        <v>22</v>
      </c>
      <c r="E41" s="24" t="s">
        <v>15</v>
      </c>
      <c r="F41" s="16" t="s">
        <v>15</v>
      </c>
      <c r="G41" s="76" t="s">
        <v>47</v>
      </c>
      <c r="H41" s="175"/>
      <c r="I41" s="178"/>
      <c r="J41" s="181"/>
      <c r="L41" s="12">
        <f>C$3 + 8</f>
        <v>42990</v>
      </c>
      <c r="M41" s="62"/>
      <c r="N41" s="63" t="s">
        <v>24</v>
      </c>
      <c r="O41" s="13" t="s">
        <v>15</v>
      </c>
      <c r="P41" s="13" t="s">
        <v>15</v>
      </c>
      <c r="Q41" s="46" t="s">
        <v>46</v>
      </c>
      <c r="R41" t="s">
        <v>37</v>
      </c>
    </row>
    <row r="42" spans="2:18" x14ac:dyDescent="0.25">
      <c r="B42" s="12">
        <f>$C$3 + 7</f>
        <v>42989</v>
      </c>
      <c r="C42" s="28"/>
      <c r="D42" s="25" t="s">
        <v>22</v>
      </c>
      <c r="E42" s="22" t="s">
        <v>15</v>
      </c>
      <c r="F42" s="13" t="s">
        <v>15</v>
      </c>
      <c r="G42" s="74" t="s">
        <v>47</v>
      </c>
      <c r="H42" s="173">
        <f>SUM(C42:C46)</f>
        <v>0</v>
      </c>
      <c r="I42" s="176">
        <f>$T$6-H42</f>
        <v>85</v>
      </c>
      <c r="J42" s="179">
        <f>($T$6-H42)+J37</f>
        <v>479.45</v>
      </c>
      <c r="L42" s="19">
        <f>C$3 + 8</f>
        <v>42990</v>
      </c>
      <c r="M42" s="7"/>
      <c r="N42" s="2" t="s">
        <v>24</v>
      </c>
      <c r="O42" s="52" t="s">
        <v>15</v>
      </c>
      <c r="P42" s="52" t="s">
        <v>15</v>
      </c>
      <c r="Q42" s="65" t="s">
        <v>46</v>
      </c>
      <c r="R42" t="s">
        <v>37</v>
      </c>
    </row>
    <row r="43" spans="2:18" x14ac:dyDescent="0.25">
      <c r="B43" s="19">
        <f>$C$3 + 7</f>
        <v>42989</v>
      </c>
      <c r="C43" s="20"/>
      <c r="D43" s="26" t="s">
        <v>22</v>
      </c>
      <c r="E43" s="23" t="s">
        <v>15</v>
      </c>
      <c r="F43" s="8" t="s">
        <v>15</v>
      </c>
      <c r="G43" s="75" t="s">
        <v>47</v>
      </c>
      <c r="H43" s="174"/>
      <c r="I43" s="177"/>
      <c r="J43" s="180"/>
      <c r="L43" s="19">
        <f>C$3 + 8</f>
        <v>42990</v>
      </c>
      <c r="M43" s="7"/>
      <c r="N43" s="2" t="s">
        <v>25</v>
      </c>
      <c r="O43" s="52" t="s">
        <v>15</v>
      </c>
      <c r="P43" s="52" t="s">
        <v>15</v>
      </c>
      <c r="Q43" s="65" t="s">
        <v>46</v>
      </c>
      <c r="R43" t="s">
        <v>37</v>
      </c>
    </row>
    <row r="44" spans="2:18" ht="16.5" thickBot="1" x14ac:dyDescent="0.3">
      <c r="B44" s="19">
        <f>$C$3 + 7</f>
        <v>42989</v>
      </c>
      <c r="C44" s="20"/>
      <c r="D44" s="26" t="s">
        <v>22</v>
      </c>
      <c r="E44" s="23" t="s">
        <v>15</v>
      </c>
      <c r="F44" s="8" t="s">
        <v>15</v>
      </c>
      <c r="G44" s="75" t="s">
        <v>47</v>
      </c>
      <c r="H44" s="174"/>
      <c r="I44" s="177"/>
      <c r="J44" s="180"/>
      <c r="L44" s="37">
        <f>C$3 + 8</f>
        <v>42990</v>
      </c>
      <c r="M44" s="55"/>
      <c r="N44" s="56" t="s">
        <v>24</v>
      </c>
      <c r="O44" s="57" t="s">
        <v>15</v>
      </c>
      <c r="P44" s="57" t="s">
        <v>15</v>
      </c>
      <c r="Q44" s="66" t="s">
        <v>46</v>
      </c>
      <c r="R44" t="s">
        <v>37</v>
      </c>
    </row>
    <row r="45" spans="2:18" x14ac:dyDescent="0.25">
      <c r="B45" s="19">
        <f>$C$3 + 7</f>
        <v>42989</v>
      </c>
      <c r="C45" s="20"/>
      <c r="D45" s="26" t="s">
        <v>22</v>
      </c>
      <c r="E45" s="23" t="s">
        <v>15</v>
      </c>
      <c r="F45" s="8" t="s">
        <v>15</v>
      </c>
      <c r="G45" s="75" t="s">
        <v>47</v>
      </c>
      <c r="H45" s="174"/>
      <c r="I45" s="177"/>
      <c r="J45" s="180"/>
      <c r="L45" s="12">
        <f>C$3 + 9</f>
        <v>42991</v>
      </c>
      <c r="M45" s="62"/>
      <c r="N45" s="63" t="s">
        <v>24</v>
      </c>
      <c r="O45" s="13" t="s">
        <v>15</v>
      </c>
      <c r="P45" s="13" t="s">
        <v>15</v>
      </c>
      <c r="Q45" s="46" t="s">
        <v>46</v>
      </c>
      <c r="R45" t="s">
        <v>37</v>
      </c>
    </row>
    <row r="46" spans="2:18" ht="16.5" thickBot="1" x14ac:dyDescent="0.3">
      <c r="B46" s="19">
        <f>$C$3 + 7</f>
        <v>42989</v>
      </c>
      <c r="C46" s="21"/>
      <c r="D46" s="27" t="s">
        <v>22</v>
      </c>
      <c r="E46" s="24" t="s">
        <v>15</v>
      </c>
      <c r="F46" s="16" t="s">
        <v>15</v>
      </c>
      <c r="G46" s="76" t="s">
        <v>47</v>
      </c>
      <c r="H46" s="175"/>
      <c r="I46" s="178"/>
      <c r="J46" s="181"/>
      <c r="L46" s="19">
        <f>C$3 + 9</f>
        <v>42991</v>
      </c>
      <c r="M46" s="7"/>
      <c r="N46" s="2" t="s">
        <v>24</v>
      </c>
      <c r="O46" s="52" t="s">
        <v>15</v>
      </c>
      <c r="P46" s="52" t="s">
        <v>15</v>
      </c>
      <c r="Q46" s="65" t="s">
        <v>46</v>
      </c>
      <c r="R46" t="s">
        <v>37</v>
      </c>
    </row>
    <row r="47" spans="2:18" x14ac:dyDescent="0.25">
      <c r="B47" s="12">
        <f>$C$3 + 8</f>
        <v>42990</v>
      </c>
      <c r="C47" s="28"/>
      <c r="D47" s="25" t="s">
        <v>22</v>
      </c>
      <c r="E47" s="22" t="s">
        <v>15</v>
      </c>
      <c r="F47" s="13" t="s">
        <v>15</v>
      </c>
      <c r="G47" s="74" t="s">
        <v>47</v>
      </c>
      <c r="H47" s="173">
        <f>SUM(C47:C51)</f>
        <v>0</v>
      </c>
      <c r="I47" s="176">
        <f>$T$6-H47</f>
        <v>85</v>
      </c>
      <c r="J47" s="179">
        <f>($T$6-H47)+J42</f>
        <v>564.45000000000005</v>
      </c>
      <c r="L47" s="19">
        <f>C$3 + 9</f>
        <v>42991</v>
      </c>
      <c r="M47" s="7"/>
      <c r="N47" s="2" t="s">
        <v>24</v>
      </c>
      <c r="O47" s="52" t="s">
        <v>15</v>
      </c>
      <c r="P47" s="52" t="s">
        <v>15</v>
      </c>
      <c r="Q47" s="65" t="s">
        <v>46</v>
      </c>
      <c r="R47" t="s">
        <v>37</v>
      </c>
    </row>
    <row r="48" spans="2:18" ht="16.5" thickBot="1" x14ac:dyDescent="0.3">
      <c r="B48" s="19">
        <f>$C$3 + 8</f>
        <v>42990</v>
      </c>
      <c r="C48" s="20"/>
      <c r="D48" s="26" t="s">
        <v>22</v>
      </c>
      <c r="E48" s="23" t="s">
        <v>15</v>
      </c>
      <c r="F48" s="8" t="s">
        <v>15</v>
      </c>
      <c r="G48" s="75" t="s">
        <v>47</v>
      </c>
      <c r="H48" s="174"/>
      <c r="I48" s="177"/>
      <c r="J48" s="180"/>
      <c r="L48" s="37">
        <f>C$3 + 9</f>
        <v>42991</v>
      </c>
      <c r="M48" s="55"/>
      <c r="N48" s="56" t="s">
        <v>24</v>
      </c>
      <c r="O48" s="57" t="s">
        <v>15</v>
      </c>
      <c r="P48" s="57" t="s">
        <v>15</v>
      </c>
      <c r="Q48" s="66" t="s">
        <v>46</v>
      </c>
      <c r="R48" t="s">
        <v>37</v>
      </c>
    </row>
    <row r="49" spans="2:18" x14ac:dyDescent="0.25">
      <c r="B49" s="19">
        <f>$C$3 + 8</f>
        <v>42990</v>
      </c>
      <c r="C49" s="20"/>
      <c r="D49" s="26" t="s">
        <v>22</v>
      </c>
      <c r="E49" s="23" t="s">
        <v>15</v>
      </c>
      <c r="F49" s="8" t="s">
        <v>15</v>
      </c>
      <c r="G49" s="75" t="s">
        <v>47</v>
      </c>
      <c r="H49" s="174"/>
      <c r="I49" s="177"/>
      <c r="J49" s="180"/>
      <c r="L49" s="12">
        <f>C$3 + 10</f>
        <v>42992</v>
      </c>
      <c r="M49" s="62"/>
      <c r="N49" s="63" t="s">
        <v>24</v>
      </c>
      <c r="O49" s="13" t="s">
        <v>15</v>
      </c>
      <c r="P49" s="13" t="s">
        <v>15</v>
      </c>
      <c r="Q49" s="46" t="s">
        <v>46</v>
      </c>
      <c r="R49" t="s">
        <v>37</v>
      </c>
    </row>
    <row r="50" spans="2:18" x14ac:dyDescent="0.25">
      <c r="B50" s="19">
        <f>$C$3 + 8</f>
        <v>42990</v>
      </c>
      <c r="C50" s="20"/>
      <c r="D50" s="26" t="s">
        <v>22</v>
      </c>
      <c r="E50" s="23" t="s">
        <v>15</v>
      </c>
      <c r="F50" s="8" t="s">
        <v>15</v>
      </c>
      <c r="G50" s="75" t="s">
        <v>47</v>
      </c>
      <c r="H50" s="174"/>
      <c r="I50" s="177"/>
      <c r="J50" s="180"/>
      <c r="L50" s="19">
        <f>C$3 + 10</f>
        <v>42992</v>
      </c>
      <c r="M50" s="7"/>
      <c r="N50" s="2" t="s">
        <v>24</v>
      </c>
      <c r="O50" s="52" t="s">
        <v>15</v>
      </c>
      <c r="P50" s="52" t="s">
        <v>15</v>
      </c>
      <c r="Q50" s="65" t="s">
        <v>46</v>
      </c>
      <c r="R50" t="s">
        <v>37</v>
      </c>
    </row>
    <row r="51" spans="2:18" ht="16.5" thickBot="1" x14ac:dyDescent="0.3">
      <c r="B51" s="19">
        <f>$C$3 + 8</f>
        <v>42990</v>
      </c>
      <c r="C51" s="21"/>
      <c r="D51" s="27" t="s">
        <v>22</v>
      </c>
      <c r="E51" s="24" t="s">
        <v>15</v>
      </c>
      <c r="F51" s="16" t="s">
        <v>15</v>
      </c>
      <c r="G51" s="76" t="s">
        <v>47</v>
      </c>
      <c r="H51" s="175"/>
      <c r="I51" s="178"/>
      <c r="J51" s="181"/>
      <c r="L51" s="19">
        <f>C$3 + 10</f>
        <v>42992</v>
      </c>
      <c r="M51" s="7"/>
      <c r="N51" s="2" t="s">
        <v>24</v>
      </c>
      <c r="O51" s="52" t="s">
        <v>15</v>
      </c>
      <c r="P51" s="52" t="s">
        <v>15</v>
      </c>
      <c r="Q51" s="65" t="s">
        <v>46</v>
      </c>
      <c r="R51" t="s">
        <v>37</v>
      </c>
    </row>
    <row r="52" spans="2:18" ht="16.5" thickBot="1" x14ac:dyDescent="0.3">
      <c r="B52" s="12">
        <f>$C$3 + 9</f>
        <v>42991</v>
      </c>
      <c r="C52" s="28"/>
      <c r="D52" s="25" t="s">
        <v>22</v>
      </c>
      <c r="E52" s="22" t="s">
        <v>15</v>
      </c>
      <c r="F52" s="13" t="s">
        <v>15</v>
      </c>
      <c r="G52" s="74" t="s">
        <v>47</v>
      </c>
      <c r="H52" s="173">
        <f>SUM(C52:C56)</f>
        <v>0</v>
      </c>
      <c r="I52" s="176">
        <f>$T$6-H52</f>
        <v>85</v>
      </c>
      <c r="J52" s="179">
        <f>($T$6-H52)+J47</f>
        <v>649.45000000000005</v>
      </c>
      <c r="L52" s="37">
        <f>C$3 + 10</f>
        <v>42992</v>
      </c>
      <c r="M52" s="55"/>
      <c r="N52" s="56" t="s">
        <v>24</v>
      </c>
      <c r="O52" s="57" t="s">
        <v>15</v>
      </c>
      <c r="P52" s="57" t="s">
        <v>15</v>
      </c>
      <c r="Q52" s="66" t="s">
        <v>46</v>
      </c>
      <c r="R52" t="s">
        <v>37</v>
      </c>
    </row>
    <row r="53" spans="2:18" x14ac:dyDescent="0.25">
      <c r="B53" s="19">
        <f>$C$3 + 9</f>
        <v>42991</v>
      </c>
      <c r="C53" s="20"/>
      <c r="D53" s="26" t="s">
        <v>22</v>
      </c>
      <c r="E53" s="23" t="s">
        <v>15</v>
      </c>
      <c r="F53" s="8" t="s">
        <v>15</v>
      </c>
      <c r="G53" s="75" t="s">
        <v>47</v>
      </c>
      <c r="H53" s="174"/>
      <c r="I53" s="177"/>
      <c r="J53" s="180"/>
      <c r="L53" s="14">
        <f>C$3 + 11</f>
        <v>42993</v>
      </c>
      <c r="M53" s="60"/>
      <c r="N53" s="61" t="s">
        <v>24</v>
      </c>
      <c r="O53" s="8" t="s">
        <v>15</v>
      </c>
      <c r="P53" s="8" t="s">
        <v>15</v>
      </c>
      <c r="Q53" s="47" t="s">
        <v>46</v>
      </c>
      <c r="R53" t="s">
        <v>37</v>
      </c>
    </row>
    <row r="54" spans="2:18" x14ac:dyDescent="0.25">
      <c r="B54" s="19">
        <f>$C$3 + 9</f>
        <v>42991</v>
      </c>
      <c r="C54" s="20"/>
      <c r="D54" s="26" t="s">
        <v>22</v>
      </c>
      <c r="E54" s="23" t="s">
        <v>15</v>
      </c>
      <c r="F54" s="8" t="s">
        <v>15</v>
      </c>
      <c r="G54" s="75" t="s">
        <v>47</v>
      </c>
      <c r="H54" s="174"/>
      <c r="I54" s="177"/>
      <c r="J54" s="180"/>
      <c r="L54" s="19">
        <f>C$3 + 11</f>
        <v>42993</v>
      </c>
      <c r="M54" s="7"/>
      <c r="N54" s="2" t="s">
        <v>24</v>
      </c>
      <c r="O54" s="52" t="s">
        <v>15</v>
      </c>
      <c r="P54" s="52" t="s">
        <v>15</v>
      </c>
      <c r="Q54" s="65" t="s">
        <v>46</v>
      </c>
      <c r="R54" t="s">
        <v>37</v>
      </c>
    </row>
    <row r="55" spans="2:18" x14ac:dyDescent="0.25">
      <c r="B55" s="19">
        <f>$C$3 + 9</f>
        <v>42991</v>
      </c>
      <c r="C55" s="20"/>
      <c r="D55" s="26" t="s">
        <v>22</v>
      </c>
      <c r="E55" s="23" t="s">
        <v>15</v>
      </c>
      <c r="F55" s="8" t="s">
        <v>15</v>
      </c>
      <c r="G55" s="75" t="s">
        <v>47</v>
      </c>
      <c r="H55" s="174"/>
      <c r="I55" s="177"/>
      <c r="J55" s="180"/>
      <c r="L55" s="19">
        <f>C$3 + 11</f>
        <v>42993</v>
      </c>
      <c r="M55" s="7"/>
      <c r="N55" s="2" t="s">
        <v>24</v>
      </c>
      <c r="O55" s="52" t="s">
        <v>15</v>
      </c>
      <c r="P55" s="52" t="s">
        <v>15</v>
      </c>
      <c r="Q55" s="65" t="s">
        <v>46</v>
      </c>
      <c r="R55" t="s">
        <v>37</v>
      </c>
    </row>
    <row r="56" spans="2:18" ht="16.5" thickBot="1" x14ac:dyDescent="0.3">
      <c r="B56" s="19">
        <f>$C$3 + 9</f>
        <v>42991</v>
      </c>
      <c r="C56" s="21"/>
      <c r="D56" s="27" t="s">
        <v>22</v>
      </c>
      <c r="E56" s="24" t="s">
        <v>15</v>
      </c>
      <c r="F56" s="16" t="s">
        <v>15</v>
      </c>
      <c r="G56" s="76" t="s">
        <v>47</v>
      </c>
      <c r="H56" s="175"/>
      <c r="I56" s="178"/>
      <c r="J56" s="181"/>
      <c r="L56" s="37">
        <f>C$3 + 11</f>
        <v>42993</v>
      </c>
      <c r="M56" s="55"/>
      <c r="N56" s="56" t="s">
        <v>24</v>
      </c>
      <c r="O56" s="57" t="s">
        <v>15</v>
      </c>
      <c r="P56" s="57" t="s">
        <v>15</v>
      </c>
      <c r="Q56" s="66" t="s">
        <v>46</v>
      </c>
      <c r="R56" t="s">
        <v>37</v>
      </c>
    </row>
    <row r="57" spans="2:18" x14ac:dyDescent="0.25">
      <c r="B57" s="12">
        <f>$C$3 + 10</f>
        <v>42992</v>
      </c>
      <c r="C57" s="28"/>
      <c r="D57" s="25" t="s">
        <v>22</v>
      </c>
      <c r="E57" s="22" t="s">
        <v>15</v>
      </c>
      <c r="F57" s="13" t="s">
        <v>15</v>
      </c>
      <c r="G57" s="74" t="s">
        <v>47</v>
      </c>
      <c r="H57" s="173">
        <f>SUM(C57:C61)</f>
        <v>0</v>
      </c>
      <c r="I57" s="176">
        <f>$T$6-H57</f>
        <v>85</v>
      </c>
      <c r="J57" s="179">
        <f>($T$6-H57)+J52</f>
        <v>734.45</v>
      </c>
    </row>
    <row r="58" spans="2:18" x14ac:dyDescent="0.25">
      <c r="B58" s="19">
        <f>$C$3 + 10</f>
        <v>42992</v>
      </c>
      <c r="C58" s="20"/>
      <c r="D58" s="26" t="s">
        <v>22</v>
      </c>
      <c r="E58" s="23" t="s">
        <v>15</v>
      </c>
      <c r="F58" s="8" t="s">
        <v>15</v>
      </c>
      <c r="G58" s="75" t="s">
        <v>47</v>
      </c>
      <c r="H58" s="174"/>
      <c r="I58" s="177"/>
      <c r="J58" s="180"/>
    </row>
    <row r="59" spans="2:18" x14ac:dyDescent="0.25">
      <c r="B59" s="19">
        <f>$C$3 + 10</f>
        <v>42992</v>
      </c>
      <c r="C59" s="20"/>
      <c r="D59" s="26" t="s">
        <v>22</v>
      </c>
      <c r="E59" s="23" t="s">
        <v>15</v>
      </c>
      <c r="F59" s="8" t="s">
        <v>15</v>
      </c>
      <c r="G59" s="75" t="s">
        <v>47</v>
      </c>
      <c r="H59" s="174"/>
      <c r="I59" s="177"/>
      <c r="J59" s="180"/>
    </row>
    <row r="60" spans="2:18" x14ac:dyDescent="0.25">
      <c r="B60" s="19">
        <f>$C$3 + 10</f>
        <v>42992</v>
      </c>
      <c r="C60" s="20"/>
      <c r="D60" s="26" t="s">
        <v>22</v>
      </c>
      <c r="E60" s="23" t="s">
        <v>15</v>
      </c>
      <c r="F60" s="8" t="s">
        <v>15</v>
      </c>
      <c r="G60" s="75" t="s">
        <v>47</v>
      </c>
      <c r="H60" s="174"/>
      <c r="I60" s="177"/>
      <c r="J60" s="180"/>
    </row>
    <row r="61" spans="2:18" ht="16.5" thickBot="1" x14ac:dyDescent="0.3">
      <c r="B61" s="19">
        <f>$C$3 + 10</f>
        <v>42992</v>
      </c>
      <c r="C61" s="21"/>
      <c r="D61" s="27" t="s">
        <v>22</v>
      </c>
      <c r="E61" s="24" t="s">
        <v>15</v>
      </c>
      <c r="F61" s="16" t="s">
        <v>15</v>
      </c>
      <c r="G61" s="76" t="s">
        <v>47</v>
      </c>
      <c r="H61" s="175"/>
      <c r="I61" s="178"/>
      <c r="J61" s="181"/>
    </row>
    <row r="62" spans="2:18" x14ac:dyDescent="0.25">
      <c r="B62" s="12">
        <f>$C$3 + 11</f>
        <v>42993</v>
      </c>
      <c r="C62" s="28"/>
      <c r="D62" s="25" t="s">
        <v>22</v>
      </c>
      <c r="E62" s="22" t="s">
        <v>15</v>
      </c>
      <c r="F62" s="13" t="s">
        <v>15</v>
      </c>
      <c r="G62" s="74" t="s">
        <v>47</v>
      </c>
      <c r="H62" s="173">
        <f>SUM(C62:C66)</f>
        <v>0</v>
      </c>
      <c r="I62" s="176">
        <f>$T$6-H62</f>
        <v>85</v>
      </c>
      <c r="J62" s="179">
        <f>($T$6-H62)+J57</f>
        <v>819.45</v>
      </c>
    </row>
    <row r="63" spans="2:18" x14ac:dyDescent="0.25">
      <c r="B63" s="19">
        <f>$C$3 + 11</f>
        <v>42993</v>
      </c>
      <c r="C63" s="20"/>
      <c r="D63" s="26" t="s">
        <v>22</v>
      </c>
      <c r="E63" s="23" t="s">
        <v>15</v>
      </c>
      <c r="F63" s="8" t="s">
        <v>15</v>
      </c>
      <c r="G63" s="75" t="s">
        <v>47</v>
      </c>
      <c r="H63" s="174"/>
      <c r="I63" s="177"/>
      <c r="J63" s="180"/>
    </row>
    <row r="64" spans="2:18" x14ac:dyDescent="0.25">
      <c r="B64" s="19">
        <f>$C$3 + 11</f>
        <v>42993</v>
      </c>
      <c r="C64" s="20"/>
      <c r="D64" s="26" t="s">
        <v>22</v>
      </c>
      <c r="E64" s="23" t="s">
        <v>15</v>
      </c>
      <c r="F64" s="8" t="s">
        <v>15</v>
      </c>
      <c r="G64" s="75" t="s">
        <v>47</v>
      </c>
      <c r="H64" s="174"/>
      <c r="I64" s="177"/>
      <c r="J64" s="180"/>
    </row>
    <row r="65" spans="2:10" x14ac:dyDescent="0.25">
      <c r="B65" s="19">
        <f>$C$3 + 11</f>
        <v>42993</v>
      </c>
      <c r="C65" s="20"/>
      <c r="D65" s="26" t="s">
        <v>22</v>
      </c>
      <c r="E65" s="23" t="s">
        <v>15</v>
      </c>
      <c r="F65" s="8" t="s">
        <v>15</v>
      </c>
      <c r="G65" s="75" t="s">
        <v>47</v>
      </c>
      <c r="H65" s="174"/>
      <c r="I65" s="177"/>
      <c r="J65" s="180"/>
    </row>
    <row r="66" spans="2:10" ht="16.5" thickBot="1" x14ac:dyDescent="0.3">
      <c r="B66" s="37">
        <f>$C$3 + 11</f>
        <v>42993</v>
      </c>
      <c r="C66" s="21"/>
      <c r="D66" s="27" t="s">
        <v>22</v>
      </c>
      <c r="E66" s="24" t="s">
        <v>15</v>
      </c>
      <c r="F66" s="16" t="s">
        <v>15</v>
      </c>
      <c r="G66" s="76" t="s">
        <v>47</v>
      </c>
      <c r="H66" s="175"/>
      <c r="I66" s="178"/>
      <c r="J66" s="181"/>
    </row>
  </sheetData>
  <mergeCells count="43">
    <mergeCell ref="H57:H61"/>
    <mergeCell ref="I57:I61"/>
    <mergeCell ref="J57:J61"/>
    <mergeCell ref="H62:H66"/>
    <mergeCell ref="I62:I66"/>
    <mergeCell ref="J62:J66"/>
    <mergeCell ref="H47:H51"/>
    <mergeCell ref="I47:I51"/>
    <mergeCell ref="J47:J51"/>
    <mergeCell ref="H52:H56"/>
    <mergeCell ref="I52:I56"/>
    <mergeCell ref="J52:J56"/>
    <mergeCell ref="H37:H41"/>
    <mergeCell ref="I37:I41"/>
    <mergeCell ref="J37:J41"/>
    <mergeCell ref="H42:H46"/>
    <mergeCell ref="I42:I46"/>
    <mergeCell ref="J42:J46"/>
    <mergeCell ref="H27:H31"/>
    <mergeCell ref="I27:I31"/>
    <mergeCell ref="J27:J31"/>
    <mergeCell ref="H32:H36"/>
    <mergeCell ref="I32:I36"/>
    <mergeCell ref="J32:J36"/>
    <mergeCell ref="H17:H21"/>
    <mergeCell ref="I17:I21"/>
    <mergeCell ref="J17:J21"/>
    <mergeCell ref="H22:H26"/>
    <mergeCell ref="I22:I26"/>
    <mergeCell ref="J22:J26"/>
    <mergeCell ref="H7:H11"/>
    <mergeCell ref="I7:I11"/>
    <mergeCell ref="J7:J11"/>
    <mergeCell ref="H12:H16"/>
    <mergeCell ref="I12:I16"/>
    <mergeCell ref="J12:J16"/>
    <mergeCell ref="E2:M2"/>
    <mergeCell ref="S2:U2"/>
    <mergeCell ref="E3:M3"/>
    <mergeCell ref="S3:U3"/>
    <mergeCell ref="B5:J5"/>
    <mergeCell ref="L5:Q5"/>
    <mergeCell ref="E4:M4"/>
  </mergeCells>
  <conditionalFormatting sqref="I7:I66 T10">
    <cfRule type="cellIs" dxfId="8" priority="6" stopIfTrue="1" operator="lessThan">
      <formula>0</formula>
    </cfRule>
  </conditionalFormatting>
  <conditionalFormatting sqref="P3">
    <cfRule type="cellIs" dxfId="7" priority="3" operator="greaterThan">
      <formula>0</formula>
    </cfRule>
  </conditionalFormatting>
  <conditionalFormatting sqref="B7:J66">
    <cfRule type="expression" dxfId="6" priority="5" stopIfTrue="1">
      <formula>$B7&gt;$C$3+$T$5-1</formula>
    </cfRule>
  </conditionalFormatting>
  <conditionalFormatting sqref="L7:Q56">
    <cfRule type="expression" dxfId="5" priority="4">
      <formula>$L7&gt;$C$3+$T$5-1</formula>
    </cfRule>
  </conditionalFormatting>
  <conditionalFormatting sqref="N3">
    <cfRule type="cellIs" dxfId="4" priority="2" operator="greaterThan">
      <formula>0</formula>
    </cfRule>
  </conditionalFormatting>
  <conditionalFormatting sqref="E4">
    <cfRule type="cellIs" dxfId="3" priority="1" operator="greaterThan">
      <formula>0</formula>
    </cfRule>
  </conditionalFormatting>
  <dataValidations count="3">
    <dataValidation type="list" allowBlank="1" showInputMessage="1" showErrorMessage="1" sqref="N7:N56" xr:uid="{49E1A699-5CF3-4713-BE88-4592C02CD3D0}">
      <formula1>"Taxi,Taxi (uber),Estacionamento,Prints"</formula1>
    </dataValidation>
    <dataValidation type="list" allowBlank="1" showInputMessage="1" showErrorMessage="1" sqref="D7:D66" xr:uid="{F715DD55-C91C-4E15-8288-76609EC07A6E}">
      <formula1>"Refeição,Alimentação Hotel (NF semanal),Jantar de Equipe"</formula1>
    </dataValidation>
    <dataValidation type="list" allowBlank="1" showInputMessage="1" showErrorMessage="1" sqref="E7:F66 O7:P56" xr:uid="{44B0CCF3-378A-4FE0-B657-D722B4F55678}">
      <formula1>"Yes,No"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CallReplicon">
                <anchor moveWithCells="1">
                  <from>
                    <xdr:col>18</xdr:col>
                    <xdr:colOff>276225</xdr:colOff>
                    <xdr:row>15</xdr:row>
                    <xdr:rowOff>152400</xdr:rowOff>
                  </from>
                  <to>
                    <xdr:col>19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CallRepliconAllSheets" altText="Send All Sheets">
                <anchor moveWithCells="1">
                  <from>
                    <xdr:col>18</xdr:col>
                    <xdr:colOff>276225</xdr:colOff>
                    <xdr:row>18</xdr:row>
                    <xdr:rowOff>95250</xdr:rowOff>
                  </from>
                  <to>
                    <xdr:col>19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754CE6-8A84-4782-A139-2ED917209EA0}">
          <x14:formula1>
            <xm:f>Config!$P$2:$P$6</xm:f>
          </x14:formula1>
          <xm:sqref>G7:G66 Q7:Q56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Q36"/>
  <sheetViews>
    <sheetView zoomScale="90" zoomScaleNormal="90" workbookViewId="0">
      <selection activeCell="D14" sqref="D14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20.5" bestFit="1" customWidth="1"/>
    <col min="5" max="5" width="2.5" customWidth="1"/>
    <col min="13" max="13" width="2.5" customWidth="1"/>
    <col min="14" max="14" width="2.5" style="73" customWidth="1"/>
    <col min="15" max="15" width="2.625" customWidth="1"/>
    <col min="16" max="16" width="34.625" bestFit="1" customWidth="1"/>
  </cols>
  <sheetData>
    <row r="1" spans="2:17" ht="16.5" thickBot="1" x14ac:dyDescent="0.3">
      <c r="P1" s="144" t="s">
        <v>35</v>
      </c>
      <c r="Q1" s="45" t="s">
        <v>65</v>
      </c>
    </row>
    <row r="2" spans="2:17" ht="16.5" thickBot="1" x14ac:dyDescent="0.3">
      <c r="B2" s="194" t="s">
        <v>28</v>
      </c>
      <c r="C2" s="195" t="s">
        <v>29</v>
      </c>
      <c r="D2" s="29" t="s">
        <v>21</v>
      </c>
      <c r="F2" s="182" t="s">
        <v>42</v>
      </c>
      <c r="G2" s="183"/>
      <c r="H2" s="183"/>
      <c r="I2" s="183"/>
      <c r="J2" s="183"/>
      <c r="K2" s="183"/>
      <c r="L2" s="184"/>
      <c r="P2" s="145" t="s">
        <v>52</v>
      </c>
      <c r="Q2" s="25" t="s">
        <v>66</v>
      </c>
    </row>
    <row r="3" spans="2:17" ht="16.5" thickBot="1" x14ac:dyDescent="0.3">
      <c r="B3" s="196" t="s">
        <v>1</v>
      </c>
      <c r="C3" s="197" t="s">
        <v>30</v>
      </c>
      <c r="D3" s="30" t="s">
        <v>43</v>
      </c>
      <c r="F3" s="185" t="str">
        <f>2058 &amp;" - "&amp; D3 &amp;" - "&amp; D4 &amp;" - " &amp;TEXT($E$4,"YYYYMMDD")&amp;" - " &amp;TEXT($D$28,"YYYYMMDD")</f>
        <v>2058 - YouCom Expense Sheet - Thiago Weidman - 19000100 - 19000100</v>
      </c>
      <c r="G3" s="186"/>
      <c r="H3" s="186"/>
      <c r="I3" s="186"/>
      <c r="J3" s="186"/>
      <c r="K3" s="186"/>
      <c r="L3" s="187"/>
      <c r="P3" s="146" t="s">
        <v>53</v>
      </c>
      <c r="Q3" s="26" t="s">
        <v>67</v>
      </c>
    </row>
    <row r="4" spans="2:17" ht="16.5" thickBot="1" x14ac:dyDescent="0.3">
      <c r="B4" s="198"/>
      <c r="C4" s="199" t="s">
        <v>31</v>
      </c>
      <c r="D4" s="71" t="s">
        <v>32</v>
      </c>
      <c r="P4" s="146" t="s">
        <v>54</v>
      </c>
      <c r="Q4" s="26" t="s">
        <v>68</v>
      </c>
    </row>
    <row r="5" spans="2:17" x14ac:dyDescent="0.25">
      <c r="B5" s="188" t="s">
        <v>44</v>
      </c>
      <c r="C5" s="31" t="s">
        <v>38</v>
      </c>
      <c r="D5" s="30" t="s">
        <v>93</v>
      </c>
      <c r="P5" s="146" t="s">
        <v>55</v>
      </c>
      <c r="Q5" s="26" t="s">
        <v>69</v>
      </c>
    </row>
    <row r="6" spans="2:17" ht="16.5" thickBot="1" x14ac:dyDescent="0.3">
      <c r="B6" s="189"/>
      <c r="C6" s="70" t="s">
        <v>39</v>
      </c>
      <c r="D6" s="72" t="s">
        <v>94</v>
      </c>
      <c r="P6" s="146" t="s">
        <v>56</v>
      </c>
      <c r="Q6" s="26" t="s">
        <v>70</v>
      </c>
    </row>
    <row r="7" spans="2:17" x14ac:dyDescent="0.25">
      <c r="B7" s="189"/>
      <c r="C7" s="70" t="s">
        <v>40</v>
      </c>
      <c r="D7" s="72" t="s">
        <v>95</v>
      </c>
      <c r="G7" s="200" t="s">
        <v>76</v>
      </c>
      <c r="H7" s="201"/>
      <c r="I7" s="201"/>
      <c r="J7" s="201"/>
      <c r="K7" s="202"/>
      <c r="P7" s="146" t="s">
        <v>57</v>
      </c>
      <c r="Q7" s="26" t="s">
        <v>71</v>
      </c>
    </row>
    <row r="8" spans="2:17" x14ac:dyDescent="0.25">
      <c r="B8" s="189"/>
      <c r="C8" s="70" t="s">
        <v>41</v>
      </c>
      <c r="D8" s="72" t="s">
        <v>96</v>
      </c>
      <c r="G8" s="203"/>
      <c r="H8" s="204"/>
      <c r="I8" s="204"/>
      <c r="J8" s="204"/>
      <c r="K8" s="205"/>
      <c r="P8" s="146" t="s">
        <v>45</v>
      </c>
      <c r="Q8" s="26"/>
    </row>
    <row r="9" spans="2:17" x14ac:dyDescent="0.25">
      <c r="B9" s="189"/>
      <c r="C9" s="70" t="s">
        <v>63</v>
      </c>
      <c r="D9" s="72" t="s">
        <v>100</v>
      </c>
      <c r="G9" s="203"/>
      <c r="H9" s="204"/>
      <c r="I9" s="204"/>
      <c r="J9" s="204"/>
      <c r="K9" s="205"/>
      <c r="P9" s="146" t="s">
        <v>46</v>
      </c>
      <c r="Q9" s="26"/>
    </row>
    <row r="10" spans="2:17" x14ac:dyDescent="0.25">
      <c r="B10" s="189"/>
      <c r="C10" s="70" t="s">
        <v>72</v>
      </c>
      <c r="D10" s="209" t="s">
        <v>99</v>
      </c>
      <c r="G10" s="203"/>
      <c r="H10" s="204"/>
      <c r="I10" s="204"/>
      <c r="J10" s="204"/>
      <c r="K10" s="205"/>
      <c r="P10" s="146" t="s">
        <v>47</v>
      </c>
      <c r="Q10" s="26"/>
    </row>
    <row r="11" spans="2:17" x14ac:dyDescent="0.25">
      <c r="B11" s="189"/>
      <c r="C11" s="70" t="s">
        <v>84</v>
      </c>
      <c r="D11" s="209" t="s">
        <v>85</v>
      </c>
      <c r="G11" s="203"/>
      <c r="H11" s="204"/>
      <c r="I11" s="204"/>
      <c r="J11" s="204"/>
      <c r="K11" s="205"/>
      <c r="P11" s="146" t="s">
        <v>58</v>
      </c>
      <c r="Q11" s="26"/>
    </row>
    <row r="12" spans="2:17" ht="16.5" thickBot="1" x14ac:dyDescent="0.3">
      <c r="B12" s="189"/>
      <c r="C12" s="70" t="s">
        <v>97</v>
      </c>
      <c r="D12" s="209" t="s">
        <v>98</v>
      </c>
      <c r="G12" s="206"/>
      <c r="H12" s="207"/>
      <c r="I12" s="207"/>
      <c r="J12" s="207"/>
      <c r="K12" s="208"/>
      <c r="P12" s="146" t="s">
        <v>48</v>
      </c>
      <c r="Q12" s="26"/>
    </row>
    <row r="13" spans="2:17" x14ac:dyDescent="0.25">
      <c r="B13" s="189"/>
      <c r="C13" s="70" t="s">
        <v>101</v>
      </c>
      <c r="D13" s="209" t="s">
        <v>102</v>
      </c>
      <c r="P13" s="146" t="s">
        <v>59</v>
      </c>
      <c r="Q13" s="26"/>
    </row>
    <row r="14" spans="2:17" ht="16.5" thickBot="1" x14ac:dyDescent="0.3">
      <c r="B14" s="190"/>
      <c r="C14" s="32" t="s">
        <v>104</v>
      </c>
      <c r="D14" s="150" t="s">
        <v>103</v>
      </c>
      <c r="P14" s="146" t="s">
        <v>49</v>
      </c>
      <c r="Q14" s="26"/>
    </row>
    <row r="15" spans="2:17" ht="16.5" thickBot="1" x14ac:dyDescent="0.3">
      <c r="P15" s="146" t="s">
        <v>60</v>
      </c>
      <c r="Q15" s="26"/>
    </row>
    <row r="16" spans="2:17" ht="15.75" customHeight="1" x14ac:dyDescent="0.25">
      <c r="B16" s="191" t="s">
        <v>75</v>
      </c>
      <c r="C16" s="31" t="s">
        <v>77</v>
      </c>
      <c r="D16" s="226" t="s">
        <v>86</v>
      </c>
      <c r="P16" s="146" t="s">
        <v>61</v>
      </c>
      <c r="Q16" s="26"/>
    </row>
    <row r="17" spans="2:17" ht="16.5" thickBot="1" x14ac:dyDescent="0.3">
      <c r="B17" s="192"/>
      <c r="C17" s="70" t="s">
        <v>78</v>
      </c>
      <c r="D17" s="224" t="s">
        <v>87</v>
      </c>
      <c r="P17" s="147" t="s">
        <v>62</v>
      </c>
      <c r="Q17" s="27"/>
    </row>
    <row r="18" spans="2:17" x14ac:dyDescent="0.25">
      <c r="B18" s="192"/>
      <c r="C18" s="70" t="s">
        <v>82</v>
      </c>
      <c r="D18" s="224" t="s">
        <v>88</v>
      </c>
      <c r="Q18" s="149"/>
    </row>
    <row r="19" spans="2:17" x14ac:dyDescent="0.25">
      <c r="B19" s="192"/>
      <c r="C19" s="70" t="s">
        <v>79</v>
      </c>
      <c r="D19" s="224" t="s">
        <v>89</v>
      </c>
      <c r="Q19" s="149"/>
    </row>
    <row r="20" spans="2:17" x14ac:dyDescent="0.25">
      <c r="B20" s="192"/>
      <c r="C20" s="70" t="s">
        <v>80</v>
      </c>
      <c r="D20" s="224" t="s">
        <v>90</v>
      </c>
      <c r="Q20" s="149"/>
    </row>
    <row r="21" spans="2:17" x14ac:dyDescent="0.25">
      <c r="B21" s="192"/>
      <c r="C21" s="70" t="s">
        <v>83</v>
      </c>
      <c r="D21" s="224" t="s">
        <v>91</v>
      </c>
      <c r="Q21" s="149"/>
    </row>
    <row r="22" spans="2:17" ht="16.5" thickBot="1" x14ac:dyDescent="0.3">
      <c r="B22" s="193"/>
      <c r="C22" s="32" t="s">
        <v>81</v>
      </c>
      <c r="D22" s="225" t="s">
        <v>92</v>
      </c>
      <c r="Q22" s="149"/>
    </row>
    <row r="23" spans="2:17" x14ac:dyDescent="0.25">
      <c r="Q23" s="149"/>
    </row>
    <row r="24" spans="2:17" x14ac:dyDescent="0.25">
      <c r="Q24" s="149"/>
    </row>
    <row r="25" spans="2:17" x14ac:dyDescent="0.25">
      <c r="Q25" s="149"/>
    </row>
    <row r="26" spans="2:17" x14ac:dyDescent="0.25">
      <c r="Q26" s="149"/>
    </row>
    <row r="27" spans="2:17" x14ac:dyDescent="0.25">
      <c r="Q27" s="149"/>
    </row>
    <row r="28" spans="2:17" x14ac:dyDescent="0.25">
      <c r="Q28" s="149"/>
    </row>
    <row r="29" spans="2:17" x14ac:dyDescent="0.25">
      <c r="Q29" s="149"/>
    </row>
    <row r="30" spans="2:17" x14ac:dyDescent="0.25">
      <c r="Q30" s="149"/>
    </row>
    <row r="31" spans="2:17" x14ac:dyDescent="0.25">
      <c r="Q31" s="149"/>
    </row>
    <row r="32" spans="2:17" x14ac:dyDescent="0.25">
      <c r="Q32" s="149"/>
    </row>
    <row r="33" spans="17:17" x14ac:dyDescent="0.25">
      <c r="Q33" s="149"/>
    </row>
    <row r="34" spans="17:17" x14ac:dyDescent="0.25">
      <c r="Q34" s="149"/>
    </row>
    <row r="35" spans="17:17" x14ac:dyDescent="0.25">
      <c r="Q35" s="149"/>
    </row>
    <row r="36" spans="17:17" x14ac:dyDescent="0.25">
      <c r="Q36" s="149"/>
    </row>
  </sheetData>
  <mergeCells count="6">
    <mergeCell ref="F2:L2"/>
    <mergeCell ref="B3:B4"/>
    <mergeCell ref="F3:L3"/>
    <mergeCell ref="B16:B22"/>
    <mergeCell ref="G7:K12"/>
    <mergeCell ref="B5:B14"/>
  </mergeCells>
  <pageMargins left="0.7" right="0.7" top="0.75" bottom="0.75" header="0.3" footer="0.3"/>
  <ignoredErrors>
    <ignoredError sqref="D16:D2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20170921</vt:lpstr>
      <vt:lpstr>20170912</vt:lpstr>
      <vt:lpstr>20170904</vt:lpstr>
      <vt:lpstr>Config</vt:lpstr>
      <vt:lpstr>currencies</vt:lpstr>
      <vt:lpstr>expense_codes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dcterms:created xsi:type="dcterms:W3CDTF">2015-01-25T11:31:25Z</dcterms:created>
  <dcterms:modified xsi:type="dcterms:W3CDTF">2017-09-18T20:17:15Z</dcterms:modified>
</cp:coreProperties>
</file>